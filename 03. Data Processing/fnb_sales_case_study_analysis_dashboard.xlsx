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es Master" sheetId="2" state="visible" r:id="rId4"/>
    <sheet name="Summary KPIs" sheetId="3" state="visible" r:id="rId5"/>
    <sheet name="Promo &amp; Elasticity" sheetId="4" state="visible" r:id="rId6"/>
    <sheet name="Monthly Pivot" sheetId="5" state="visible" r:id="rId7"/>
    <sheet name="Day of Week Pivo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Note: mathematically, Gross Profit % per Unit = Gross Profit % (both are (Sales-COS)/Sales), since dividing GP-per-unit by Price-per-unit cancels the Quantity term. Shown separately here to answer the brief literally, but the two columns will always match.</t>
        </r>
      </text>
    </comment>
  </commentList>
</comments>
</file>

<file path=xl/sharedStrings.xml><?xml version="1.0" encoding="utf-8"?>
<sst xmlns="http://schemas.openxmlformats.org/spreadsheetml/2006/main" count="82" uniqueCount="72">
  <si>
    <t xml:space="preserve">FnB Sales Performance Dashboard</t>
  </si>
  <si>
    <t xml:space="preserve">Total Sales (R)</t>
  </si>
  <si>
    <t xml:space="preserve">Total Cost of Sales (R)</t>
  </si>
  <si>
    <t xml:space="preserve">Total Gross Profit (R)</t>
  </si>
  <si>
    <t xml:space="preserve">Total Quantity Sold</t>
  </si>
  <si>
    <t xml:space="preserve">Avg Daily Gross Profit %</t>
  </si>
  <si>
    <t xml:space="preserve">Avg Unit Sales Price (R)</t>
  </si>
  <si>
    <t xml:space="preserve">Key Trends &amp; Analysis</t>
  </si>
  <si>
    <t xml:space="preserve">Underlying pivot tables and detailed data are on the tabs to the right (Sales Master, Summary KPIs, Promo &amp; Elasticity, Monthly Pivot, Day of Week Pivot).</t>
  </si>
  <si>
    <t xml:space="preserve">Date</t>
  </si>
  <si>
    <t xml:space="preserve">Sales (R)</t>
  </si>
  <si>
    <t xml:space="preserve">Cost of Sales (R)</t>
  </si>
  <si>
    <t xml:space="preserve">Quantity Sold</t>
  </si>
  <si>
    <t xml:space="preserve">Price per Unit (R)</t>
  </si>
  <si>
    <t xml:space="preserve">Cost per Unit (R)</t>
  </si>
  <si>
    <t xml:space="preserve">Gross Profit (R)</t>
  </si>
  <si>
    <t xml:space="preserve">Gross Profit %</t>
  </si>
  <si>
    <t xml:space="preserve">Gross Profit per Unit (R)</t>
  </si>
  <si>
    <t xml:space="preserve">Gross Profit % per Unit</t>
  </si>
  <si>
    <t xml:space="preserve">Day of Week</t>
  </si>
  <si>
    <t xml:space="preserve">Period Label</t>
  </si>
  <si>
    <t xml:space="preserve">Metric</t>
  </si>
  <si>
    <t xml:space="preserve">Value</t>
  </si>
  <si>
    <t xml:space="preserve">Date Range Start</t>
  </si>
  <si>
    <t xml:space="preserve">Date Range End</t>
  </si>
  <si>
    <t xml:space="preserve">Number of Trading Days</t>
  </si>
  <si>
    <t xml:space="preserve">Average Unit Sales Price (R)</t>
  </si>
  <si>
    <t xml:space="preserve">Average Daily Gross Profit %</t>
  </si>
  <si>
    <t xml:space="preserve">Min Daily Price per Unit (R)</t>
  </si>
  <si>
    <t xml:space="preserve">Max Daily Price per Unit (R)</t>
  </si>
  <si>
    <t xml:space="preserve">Std Dev of Daily Price per Unit</t>
  </si>
  <si>
    <t xml:space="preserve">Period #</t>
  </si>
  <si>
    <t xml:space="preserve">Promo Start</t>
  </si>
  <si>
    <t xml:space="preserve">Promo End</t>
  </si>
  <si>
    <t xml:space="preserve">Baseline Start</t>
  </si>
  <si>
    <t xml:space="preserve">Baseline End</t>
  </si>
  <si>
    <t xml:space="preserve">Baseline Avg Price (R)</t>
  </si>
  <si>
    <t xml:space="preserve">Baseline Avg Qty</t>
  </si>
  <si>
    <t xml:space="preserve">Promo Avg Price (R)</t>
  </si>
  <si>
    <t xml:space="preserve">Promo Avg Qty</t>
  </si>
  <si>
    <t xml:space="preserve">% Change Price</t>
  </si>
  <si>
    <t xml:space="preserve">% Change Qty</t>
  </si>
  <si>
    <t xml:space="preserve">Price Elasticity of Demand (PED)</t>
  </si>
  <si>
    <t xml:space="preserve">Baseline Total GP (R)*</t>
  </si>
  <si>
    <t xml:space="preserve">Promo Total GP (R)*</t>
  </si>
  <si>
    <t xml:space="preserve">2014-09-24</t>
  </si>
  <si>
    <t xml:space="preserve">2014-10-06</t>
  </si>
  <si>
    <t xml:space="preserve">2014-09-10</t>
  </si>
  <si>
    <t xml:space="preserve">2014-09-23</t>
  </si>
  <si>
    <t xml:space="preserve">2015-09-23</t>
  </si>
  <si>
    <t xml:space="preserve">2015-10-06</t>
  </si>
  <si>
    <t xml:space="preserve">2015-09-09</t>
  </si>
  <si>
    <t xml:space="preserve">2015-09-22</t>
  </si>
  <si>
    <t xml:space="preserve">2016-06-23</t>
  </si>
  <si>
    <t xml:space="preserve">2016-07-06</t>
  </si>
  <si>
    <t xml:space="preserve">2016-06-09</t>
  </si>
  <si>
    <t xml:space="preserve">2016-06-22</t>
  </si>
  <si>
    <t xml:space="preserve">Interpretation</t>
  </si>
  <si>
    <t xml:space="preserve">All three periods show highly elastic demand (|PED| &gt;&gt; 1): a small % reduction in price during promotional windows is associated with a very large % increase in units sold, and total Rand revenue and gross profit Rand value rise even though the unit margin % is compressed. This product therefore performs materially better in volume and revenue terms when on promotion; the trade-off is a lower gross profit % per unit, so the promotion is only worthwhile while the extra volume more than compensates for the thinner margin (see Total Gross Profit comparison).</t>
  </si>
  <si>
    <t xml:space="preserve">*Baseline/Promo Total GP compares total gross profit earned over the (differently-sized) baseline vs promo windows shown in columns D:E and B:C — a directional check, not a like-for-like daily rate.</t>
  </si>
  <si>
    <t xml:space="preserve">Month</t>
  </si>
  <si>
    <t xml:space="preserve">Avg Price per Unit (R)</t>
  </si>
  <si>
    <t xml:space="preserve">Avg Quantity Sold</t>
  </si>
  <si>
    <t xml:space="preserve">Avg Gross Profit (R)</t>
  </si>
  <si>
    <t xml:space="preserve">Trading Days (n)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</si>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</sst>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;\(#,##0\)"/>
    <numFmt numFmtId="167" formatCode="0.0%"/>
    <numFmt numFmtId="168" formatCode="#,##0.00"/>
    <numFmt numFmtId="169" formatCode="0.00"/>
    <numFmt numFmtId="170" formatCode="0%"/>
    <numFmt numFmtId="171" formatCode="yyyy\-mm\-dd"/>
    <numFmt numFmtId="172" formatCode="mmm\-yyyy"/>
    <numFmt numFmtId="173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1F1F"/>
      <name val="Arial"/>
      <family val="0"/>
      <charset val="1"/>
    </font>
    <font>
      <b val="true"/>
      <sz val="12"/>
      <color rgb="FF305496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DC3E6"/>
      <rgbColor rgb="FFFF99CC"/>
      <rgbColor rgb="FFB3B3B3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C0504D"/>
      <rgbColor rgb="FF305496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Price per Unit vs Quantity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'Sales Master'!E1</c:f>
              <c:strCache>
                <c:ptCount val="1"/>
                <c:pt idx="0">
                  <c:v>Price per Unit (R)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Master'!$A$2:$A$1054</c:f>
              <c:strCache>
                <c:ptCount val="1053"/>
                <c:pt idx="0">
                  <c:v>2013-12-30</c:v>
                </c:pt>
                <c:pt idx="1">
                  <c:v>2013-12-31</c:v>
                </c:pt>
                <c:pt idx="2">
                  <c:v>2014-01-01</c:v>
                </c:pt>
                <c:pt idx="3">
                  <c:v>2014-01-02</c:v>
                </c:pt>
                <c:pt idx="4">
                  <c:v>2014-01-03</c:v>
                </c:pt>
                <c:pt idx="5">
                  <c:v>2014-01-04</c:v>
                </c:pt>
                <c:pt idx="6">
                  <c:v>2014-01-05</c:v>
                </c:pt>
                <c:pt idx="7">
                  <c:v>2014-01-06</c:v>
                </c:pt>
                <c:pt idx="8">
                  <c:v>2014-01-07</c:v>
                </c:pt>
                <c:pt idx="9">
                  <c:v>2014-01-08</c:v>
                </c:pt>
                <c:pt idx="10">
                  <c:v>2014-01-09</c:v>
                </c:pt>
                <c:pt idx="11">
                  <c:v>2014-01-10</c:v>
                </c:pt>
                <c:pt idx="12">
                  <c:v>2014-01-11</c:v>
                </c:pt>
                <c:pt idx="13">
                  <c:v>2014-01-12</c:v>
                </c:pt>
                <c:pt idx="14">
                  <c:v>2014-01-13</c:v>
                </c:pt>
                <c:pt idx="15">
                  <c:v>2014-01-14</c:v>
                </c:pt>
                <c:pt idx="16">
                  <c:v>2014-01-15</c:v>
                </c:pt>
                <c:pt idx="17">
                  <c:v>2014-01-16</c:v>
                </c:pt>
                <c:pt idx="18">
                  <c:v>2014-01-17</c:v>
                </c:pt>
                <c:pt idx="19">
                  <c:v>2014-01-18</c:v>
                </c:pt>
                <c:pt idx="20">
                  <c:v>2014-01-19</c:v>
                </c:pt>
                <c:pt idx="21">
                  <c:v>2014-01-20</c:v>
                </c:pt>
                <c:pt idx="22">
                  <c:v>2014-01-21</c:v>
                </c:pt>
                <c:pt idx="23">
                  <c:v>2014-01-22</c:v>
                </c:pt>
                <c:pt idx="24">
                  <c:v>2014-01-23</c:v>
                </c:pt>
                <c:pt idx="25">
                  <c:v>2014-01-24</c:v>
                </c:pt>
                <c:pt idx="26">
                  <c:v>2014-01-25</c:v>
                </c:pt>
                <c:pt idx="27">
                  <c:v>2014-01-26</c:v>
                </c:pt>
                <c:pt idx="28">
                  <c:v>2014-01-27</c:v>
                </c:pt>
                <c:pt idx="29">
                  <c:v>2014-01-28</c:v>
                </c:pt>
                <c:pt idx="30">
                  <c:v>2014-01-29</c:v>
                </c:pt>
                <c:pt idx="31">
                  <c:v>2014-01-30</c:v>
                </c:pt>
                <c:pt idx="32">
                  <c:v>2014-01-31</c:v>
                </c:pt>
                <c:pt idx="33">
                  <c:v>2014-02-01</c:v>
                </c:pt>
                <c:pt idx="34">
                  <c:v>2014-02-02</c:v>
                </c:pt>
                <c:pt idx="35">
                  <c:v>2014-02-03</c:v>
                </c:pt>
                <c:pt idx="36">
                  <c:v>2014-02-04</c:v>
                </c:pt>
                <c:pt idx="37">
                  <c:v>2014-02-05</c:v>
                </c:pt>
                <c:pt idx="38">
                  <c:v>2014-02-06</c:v>
                </c:pt>
                <c:pt idx="39">
                  <c:v>2014-02-07</c:v>
                </c:pt>
                <c:pt idx="40">
                  <c:v>2014-02-08</c:v>
                </c:pt>
                <c:pt idx="41">
                  <c:v>2014-02-09</c:v>
                </c:pt>
                <c:pt idx="42">
                  <c:v>2014-02-10</c:v>
                </c:pt>
                <c:pt idx="43">
                  <c:v>2014-02-11</c:v>
                </c:pt>
                <c:pt idx="44">
                  <c:v>2014-02-12</c:v>
                </c:pt>
                <c:pt idx="45">
                  <c:v>2014-02-13</c:v>
                </c:pt>
                <c:pt idx="46">
                  <c:v>2014-02-14</c:v>
                </c:pt>
                <c:pt idx="47">
                  <c:v>2014-02-15</c:v>
                </c:pt>
                <c:pt idx="48">
                  <c:v>2014-02-16</c:v>
                </c:pt>
                <c:pt idx="49">
                  <c:v>2014-02-17</c:v>
                </c:pt>
                <c:pt idx="50">
                  <c:v>2014-02-18</c:v>
                </c:pt>
                <c:pt idx="51">
                  <c:v>2014-02-19</c:v>
                </c:pt>
                <c:pt idx="52">
                  <c:v>2014-02-20</c:v>
                </c:pt>
                <c:pt idx="53">
                  <c:v>2014-02-21</c:v>
                </c:pt>
                <c:pt idx="54">
                  <c:v>2014-02-22</c:v>
                </c:pt>
                <c:pt idx="55">
                  <c:v>2014-02-23</c:v>
                </c:pt>
                <c:pt idx="56">
                  <c:v>2014-02-24</c:v>
                </c:pt>
                <c:pt idx="57">
                  <c:v>2014-02-25</c:v>
                </c:pt>
                <c:pt idx="58">
                  <c:v>2014-02-26</c:v>
                </c:pt>
                <c:pt idx="59">
                  <c:v>2014-02-27</c:v>
                </c:pt>
                <c:pt idx="60">
                  <c:v>2014-02-28</c:v>
                </c:pt>
                <c:pt idx="61">
                  <c:v>2014-03-01</c:v>
                </c:pt>
                <c:pt idx="62">
                  <c:v>2014-03-02</c:v>
                </c:pt>
                <c:pt idx="63">
                  <c:v>2014-03-03</c:v>
                </c:pt>
                <c:pt idx="64">
                  <c:v>2014-03-04</c:v>
                </c:pt>
                <c:pt idx="65">
                  <c:v>2014-03-05</c:v>
                </c:pt>
                <c:pt idx="66">
                  <c:v>2014-03-06</c:v>
                </c:pt>
                <c:pt idx="67">
                  <c:v>2014-03-07</c:v>
                </c:pt>
                <c:pt idx="68">
                  <c:v>2014-03-08</c:v>
                </c:pt>
                <c:pt idx="69">
                  <c:v>2014-03-09</c:v>
                </c:pt>
                <c:pt idx="70">
                  <c:v>2014-03-10</c:v>
                </c:pt>
                <c:pt idx="71">
                  <c:v>2014-03-11</c:v>
                </c:pt>
                <c:pt idx="72">
                  <c:v>2014-03-12</c:v>
                </c:pt>
                <c:pt idx="73">
                  <c:v>2014-03-13</c:v>
                </c:pt>
                <c:pt idx="74">
                  <c:v>2014-03-14</c:v>
                </c:pt>
                <c:pt idx="75">
                  <c:v>2014-03-15</c:v>
                </c:pt>
                <c:pt idx="76">
                  <c:v>2014-03-16</c:v>
                </c:pt>
                <c:pt idx="77">
                  <c:v>2014-03-17</c:v>
                </c:pt>
                <c:pt idx="78">
                  <c:v>2014-03-18</c:v>
                </c:pt>
                <c:pt idx="79">
                  <c:v>2014-03-19</c:v>
                </c:pt>
                <c:pt idx="80">
                  <c:v>2014-03-20</c:v>
                </c:pt>
                <c:pt idx="81">
                  <c:v>2014-03-21</c:v>
                </c:pt>
                <c:pt idx="82">
                  <c:v>2014-03-22</c:v>
                </c:pt>
                <c:pt idx="83">
                  <c:v>2014-03-23</c:v>
                </c:pt>
                <c:pt idx="84">
                  <c:v>2014-03-24</c:v>
                </c:pt>
                <c:pt idx="85">
                  <c:v>2014-03-25</c:v>
                </c:pt>
                <c:pt idx="86">
                  <c:v>2014-03-26</c:v>
                </c:pt>
                <c:pt idx="87">
                  <c:v>2014-03-27</c:v>
                </c:pt>
                <c:pt idx="88">
                  <c:v>2014-03-28</c:v>
                </c:pt>
                <c:pt idx="89">
                  <c:v>2014-03-29</c:v>
                </c:pt>
                <c:pt idx="90">
                  <c:v>2014-03-30</c:v>
                </c:pt>
                <c:pt idx="91">
                  <c:v>2014-03-31</c:v>
                </c:pt>
                <c:pt idx="92">
                  <c:v>2014-04-01</c:v>
                </c:pt>
                <c:pt idx="93">
                  <c:v>2014-04-02</c:v>
                </c:pt>
                <c:pt idx="94">
                  <c:v>2014-04-03</c:v>
                </c:pt>
                <c:pt idx="95">
                  <c:v>2014-04-04</c:v>
                </c:pt>
                <c:pt idx="96">
                  <c:v>2014-04-05</c:v>
                </c:pt>
                <c:pt idx="97">
                  <c:v>2014-04-06</c:v>
                </c:pt>
                <c:pt idx="98">
                  <c:v>2014-04-07</c:v>
                </c:pt>
                <c:pt idx="99">
                  <c:v>2014-04-08</c:v>
                </c:pt>
                <c:pt idx="100">
                  <c:v>2014-04-09</c:v>
                </c:pt>
                <c:pt idx="101">
                  <c:v>2014-04-10</c:v>
                </c:pt>
                <c:pt idx="102">
                  <c:v>2014-04-11</c:v>
                </c:pt>
                <c:pt idx="103">
                  <c:v>2014-04-12</c:v>
                </c:pt>
                <c:pt idx="104">
                  <c:v>2014-04-13</c:v>
                </c:pt>
                <c:pt idx="105">
                  <c:v>2014-04-14</c:v>
                </c:pt>
                <c:pt idx="106">
                  <c:v>2014-04-15</c:v>
                </c:pt>
                <c:pt idx="107">
                  <c:v>2014-04-16</c:v>
                </c:pt>
                <c:pt idx="108">
                  <c:v>2014-04-17</c:v>
                </c:pt>
                <c:pt idx="109">
                  <c:v>2014-04-18</c:v>
                </c:pt>
                <c:pt idx="110">
                  <c:v>2014-04-19</c:v>
                </c:pt>
                <c:pt idx="111">
                  <c:v>2014-04-20</c:v>
                </c:pt>
                <c:pt idx="112">
                  <c:v>2014-04-21</c:v>
                </c:pt>
                <c:pt idx="113">
                  <c:v>2014-04-22</c:v>
                </c:pt>
                <c:pt idx="114">
                  <c:v>2014-04-23</c:v>
                </c:pt>
                <c:pt idx="115">
                  <c:v>2014-04-24</c:v>
                </c:pt>
                <c:pt idx="116">
                  <c:v>2014-04-25</c:v>
                </c:pt>
                <c:pt idx="117">
                  <c:v>2014-04-26</c:v>
                </c:pt>
                <c:pt idx="118">
                  <c:v>2014-04-27</c:v>
                </c:pt>
                <c:pt idx="119">
                  <c:v>2014-04-28</c:v>
                </c:pt>
                <c:pt idx="120">
                  <c:v>2014-04-29</c:v>
                </c:pt>
                <c:pt idx="121">
                  <c:v>2014-04-30</c:v>
                </c:pt>
                <c:pt idx="122">
                  <c:v>2014-05-01</c:v>
                </c:pt>
                <c:pt idx="123">
                  <c:v>2014-05-02</c:v>
                </c:pt>
                <c:pt idx="124">
                  <c:v>2014-05-03</c:v>
                </c:pt>
                <c:pt idx="125">
                  <c:v>2014-05-04</c:v>
                </c:pt>
                <c:pt idx="126">
                  <c:v>2014-05-05</c:v>
                </c:pt>
                <c:pt idx="127">
                  <c:v>2014-05-06</c:v>
                </c:pt>
                <c:pt idx="128">
                  <c:v>2014-05-07</c:v>
                </c:pt>
                <c:pt idx="129">
                  <c:v>2014-05-08</c:v>
                </c:pt>
                <c:pt idx="130">
                  <c:v>2014-05-09</c:v>
                </c:pt>
                <c:pt idx="131">
                  <c:v>2014-05-10</c:v>
                </c:pt>
                <c:pt idx="132">
                  <c:v>2014-05-11</c:v>
                </c:pt>
                <c:pt idx="133">
                  <c:v>2014-05-12</c:v>
                </c:pt>
                <c:pt idx="134">
                  <c:v>2014-05-13</c:v>
                </c:pt>
                <c:pt idx="135">
                  <c:v>2014-05-14</c:v>
                </c:pt>
                <c:pt idx="136">
                  <c:v>2014-05-15</c:v>
                </c:pt>
                <c:pt idx="137">
                  <c:v>2014-05-16</c:v>
                </c:pt>
                <c:pt idx="138">
                  <c:v>2014-05-17</c:v>
                </c:pt>
                <c:pt idx="139">
                  <c:v>2014-05-18</c:v>
                </c:pt>
                <c:pt idx="140">
                  <c:v>2014-05-19</c:v>
                </c:pt>
                <c:pt idx="141">
                  <c:v>2014-05-20</c:v>
                </c:pt>
                <c:pt idx="142">
                  <c:v>2014-05-21</c:v>
                </c:pt>
                <c:pt idx="143">
                  <c:v>2014-05-22</c:v>
                </c:pt>
                <c:pt idx="144">
                  <c:v>2014-05-23</c:v>
                </c:pt>
                <c:pt idx="145">
                  <c:v>2014-05-24</c:v>
                </c:pt>
                <c:pt idx="146">
                  <c:v>2014-05-25</c:v>
                </c:pt>
                <c:pt idx="147">
                  <c:v>2014-05-26</c:v>
                </c:pt>
                <c:pt idx="148">
                  <c:v>2014-05-27</c:v>
                </c:pt>
                <c:pt idx="149">
                  <c:v>2014-05-28</c:v>
                </c:pt>
                <c:pt idx="150">
                  <c:v>2014-05-29</c:v>
                </c:pt>
                <c:pt idx="151">
                  <c:v>2014-05-30</c:v>
                </c:pt>
                <c:pt idx="152">
                  <c:v>2014-05-31</c:v>
                </c:pt>
                <c:pt idx="153">
                  <c:v>2014-06-01</c:v>
                </c:pt>
                <c:pt idx="154">
                  <c:v>2014-06-02</c:v>
                </c:pt>
                <c:pt idx="155">
                  <c:v>2014-06-03</c:v>
                </c:pt>
                <c:pt idx="156">
                  <c:v>2014-06-04</c:v>
                </c:pt>
                <c:pt idx="157">
                  <c:v>2014-06-05</c:v>
                </c:pt>
                <c:pt idx="158">
                  <c:v>2014-06-06</c:v>
                </c:pt>
                <c:pt idx="159">
                  <c:v>2014-06-07</c:v>
                </c:pt>
                <c:pt idx="160">
                  <c:v>2014-06-08</c:v>
                </c:pt>
                <c:pt idx="161">
                  <c:v>2014-06-09</c:v>
                </c:pt>
                <c:pt idx="162">
                  <c:v>2014-06-10</c:v>
                </c:pt>
                <c:pt idx="163">
                  <c:v>2014-06-11</c:v>
                </c:pt>
                <c:pt idx="164">
                  <c:v>2014-06-12</c:v>
                </c:pt>
                <c:pt idx="165">
                  <c:v>2014-06-13</c:v>
                </c:pt>
                <c:pt idx="166">
                  <c:v>2014-06-14</c:v>
                </c:pt>
                <c:pt idx="167">
                  <c:v>2014-06-15</c:v>
                </c:pt>
                <c:pt idx="168">
                  <c:v>2014-06-16</c:v>
                </c:pt>
                <c:pt idx="169">
                  <c:v>2014-06-17</c:v>
                </c:pt>
                <c:pt idx="170">
                  <c:v>2014-06-18</c:v>
                </c:pt>
                <c:pt idx="171">
                  <c:v>2014-06-19</c:v>
                </c:pt>
                <c:pt idx="172">
                  <c:v>2014-06-20</c:v>
                </c:pt>
                <c:pt idx="173">
                  <c:v>2014-06-21</c:v>
                </c:pt>
                <c:pt idx="174">
                  <c:v>2014-06-22</c:v>
                </c:pt>
                <c:pt idx="175">
                  <c:v>2014-06-23</c:v>
                </c:pt>
                <c:pt idx="176">
                  <c:v>2014-06-24</c:v>
                </c:pt>
                <c:pt idx="177">
                  <c:v>2014-06-25</c:v>
                </c:pt>
                <c:pt idx="178">
                  <c:v>2014-06-26</c:v>
                </c:pt>
                <c:pt idx="179">
                  <c:v>2014-06-27</c:v>
                </c:pt>
                <c:pt idx="180">
                  <c:v>2014-06-28</c:v>
                </c:pt>
                <c:pt idx="181">
                  <c:v>2014-06-29</c:v>
                </c:pt>
                <c:pt idx="182">
                  <c:v>2014-06-30</c:v>
                </c:pt>
                <c:pt idx="183">
                  <c:v>2014-07-01</c:v>
                </c:pt>
                <c:pt idx="184">
                  <c:v>2014-07-02</c:v>
                </c:pt>
                <c:pt idx="185">
                  <c:v>2014-07-03</c:v>
                </c:pt>
                <c:pt idx="186">
                  <c:v>2014-07-04</c:v>
                </c:pt>
                <c:pt idx="187">
                  <c:v>2014-07-05</c:v>
                </c:pt>
                <c:pt idx="188">
                  <c:v>2014-07-06</c:v>
                </c:pt>
                <c:pt idx="189">
                  <c:v>2014-07-07</c:v>
                </c:pt>
                <c:pt idx="190">
                  <c:v>2014-07-08</c:v>
                </c:pt>
                <c:pt idx="191">
                  <c:v>2014-07-09</c:v>
                </c:pt>
                <c:pt idx="192">
                  <c:v>2014-07-10</c:v>
                </c:pt>
                <c:pt idx="193">
                  <c:v>2014-07-11</c:v>
                </c:pt>
                <c:pt idx="194">
                  <c:v>2014-07-12</c:v>
                </c:pt>
                <c:pt idx="195">
                  <c:v>2014-07-13</c:v>
                </c:pt>
                <c:pt idx="196">
                  <c:v>2014-07-14</c:v>
                </c:pt>
                <c:pt idx="197">
                  <c:v>2014-07-15</c:v>
                </c:pt>
                <c:pt idx="198">
                  <c:v>2014-07-16</c:v>
                </c:pt>
                <c:pt idx="199">
                  <c:v>2014-07-17</c:v>
                </c:pt>
                <c:pt idx="200">
                  <c:v>2014-07-18</c:v>
                </c:pt>
                <c:pt idx="201">
                  <c:v>2014-07-19</c:v>
                </c:pt>
                <c:pt idx="202">
                  <c:v>2014-07-20</c:v>
                </c:pt>
                <c:pt idx="203">
                  <c:v>2014-07-21</c:v>
                </c:pt>
                <c:pt idx="204">
                  <c:v>2014-07-22</c:v>
                </c:pt>
                <c:pt idx="205">
                  <c:v>2014-07-23</c:v>
                </c:pt>
                <c:pt idx="206">
                  <c:v>2014-07-24</c:v>
                </c:pt>
                <c:pt idx="207">
                  <c:v>2014-07-25</c:v>
                </c:pt>
                <c:pt idx="208">
                  <c:v>2014-07-26</c:v>
                </c:pt>
                <c:pt idx="209">
                  <c:v>2014-07-27</c:v>
                </c:pt>
                <c:pt idx="210">
                  <c:v>2014-07-28</c:v>
                </c:pt>
                <c:pt idx="211">
                  <c:v>2014-07-29</c:v>
                </c:pt>
                <c:pt idx="212">
                  <c:v>2014-07-30</c:v>
                </c:pt>
                <c:pt idx="213">
                  <c:v>2014-07-31</c:v>
                </c:pt>
                <c:pt idx="214">
                  <c:v>2014-08-01</c:v>
                </c:pt>
                <c:pt idx="215">
                  <c:v>2014-08-02</c:v>
                </c:pt>
                <c:pt idx="216">
                  <c:v>2014-08-03</c:v>
                </c:pt>
                <c:pt idx="217">
                  <c:v>2014-08-04</c:v>
                </c:pt>
                <c:pt idx="218">
                  <c:v>2014-08-05</c:v>
                </c:pt>
                <c:pt idx="219">
                  <c:v>2014-08-06</c:v>
                </c:pt>
                <c:pt idx="220">
                  <c:v>2014-08-07</c:v>
                </c:pt>
                <c:pt idx="221">
                  <c:v>2014-08-08</c:v>
                </c:pt>
                <c:pt idx="222">
                  <c:v>2014-08-09</c:v>
                </c:pt>
                <c:pt idx="223">
                  <c:v>2014-08-10</c:v>
                </c:pt>
                <c:pt idx="224">
                  <c:v>2014-08-11</c:v>
                </c:pt>
                <c:pt idx="225">
                  <c:v>2014-08-12</c:v>
                </c:pt>
                <c:pt idx="226">
                  <c:v>2014-08-13</c:v>
                </c:pt>
                <c:pt idx="227">
                  <c:v>2014-08-14</c:v>
                </c:pt>
                <c:pt idx="228">
                  <c:v>2014-08-15</c:v>
                </c:pt>
                <c:pt idx="229">
                  <c:v>2014-08-16</c:v>
                </c:pt>
                <c:pt idx="230">
                  <c:v>2014-08-17</c:v>
                </c:pt>
                <c:pt idx="231">
                  <c:v>2014-08-18</c:v>
                </c:pt>
                <c:pt idx="232">
                  <c:v>2014-08-19</c:v>
                </c:pt>
                <c:pt idx="233">
                  <c:v>2014-08-20</c:v>
                </c:pt>
                <c:pt idx="234">
                  <c:v>2014-08-21</c:v>
                </c:pt>
                <c:pt idx="235">
                  <c:v>2014-08-22</c:v>
                </c:pt>
                <c:pt idx="236">
                  <c:v>2014-08-23</c:v>
                </c:pt>
                <c:pt idx="237">
                  <c:v>2014-08-24</c:v>
                </c:pt>
                <c:pt idx="238">
                  <c:v>2014-08-25</c:v>
                </c:pt>
                <c:pt idx="239">
                  <c:v>2014-08-26</c:v>
                </c:pt>
                <c:pt idx="240">
                  <c:v>2014-08-27</c:v>
                </c:pt>
                <c:pt idx="241">
                  <c:v>2014-08-28</c:v>
                </c:pt>
                <c:pt idx="242">
                  <c:v>2014-08-29</c:v>
                </c:pt>
                <c:pt idx="243">
                  <c:v>2014-08-30</c:v>
                </c:pt>
                <c:pt idx="244">
                  <c:v>2014-08-31</c:v>
                </c:pt>
                <c:pt idx="245">
                  <c:v>2014-09-01</c:v>
                </c:pt>
                <c:pt idx="246">
                  <c:v>2014-09-02</c:v>
                </c:pt>
                <c:pt idx="247">
                  <c:v>2014-09-03</c:v>
                </c:pt>
                <c:pt idx="248">
                  <c:v>2014-09-04</c:v>
                </c:pt>
                <c:pt idx="249">
                  <c:v>2014-09-05</c:v>
                </c:pt>
                <c:pt idx="250">
                  <c:v>2014-09-06</c:v>
                </c:pt>
                <c:pt idx="251">
                  <c:v>2014-09-07</c:v>
                </c:pt>
                <c:pt idx="252">
                  <c:v>2014-09-08</c:v>
                </c:pt>
                <c:pt idx="253">
                  <c:v>2014-09-09</c:v>
                </c:pt>
                <c:pt idx="254">
                  <c:v>2014-09-10</c:v>
                </c:pt>
                <c:pt idx="255">
                  <c:v>2014-09-11</c:v>
                </c:pt>
                <c:pt idx="256">
                  <c:v>2014-09-12</c:v>
                </c:pt>
                <c:pt idx="257">
                  <c:v>2014-09-13</c:v>
                </c:pt>
                <c:pt idx="258">
                  <c:v>2014-09-14</c:v>
                </c:pt>
                <c:pt idx="259">
                  <c:v>2014-09-15</c:v>
                </c:pt>
                <c:pt idx="260">
                  <c:v>2014-09-16</c:v>
                </c:pt>
                <c:pt idx="261">
                  <c:v>2014-09-17</c:v>
                </c:pt>
                <c:pt idx="262">
                  <c:v>2014-09-18</c:v>
                </c:pt>
                <c:pt idx="263">
                  <c:v>2014-09-19</c:v>
                </c:pt>
                <c:pt idx="264">
                  <c:v>2014-09-20</c:v>
                </c:pt>
                <c:pt idx="265">
                  <c:v>2014-09-21</c:v>
                </c:pt>
                <c:pt idx="266">
                  <c:v>2014-09-22</c:v>
                </c:pt>
                <c:pt idx="267">
                  <c:v>2014-09-23</c:v>
                </c:pt>
                <c:pt idx="268">
                  <c:v>2014-09-24</c:v>
                </c:pt>
                <c:pt idx="269">
                  <c:v>2014-09-25</c:v>
                </c:pt>
                <c:pt idx="270">
                  <c:v>2014-09-26</c:v>
                </c:pt>
                <c:pt idx="271">
                  <c:v>2014-09-27</c:v>
                </c:pt>
                <c:pt idx="272">
                  <c:v>2014-09-28</c:v>
                </c:pt>
                <c:pt idx="273">
                  <c:v>2014-09-29</c:v>
                </c:pt>
                <c:pt idx="274">
                  <c:v>2014-09-30</c:v>
                </c:pt>
                <c:pt idx="275">
                  <c:v>2014-10-01</c:v>
                </c:pt>
                <c:pt idx="276">
                  <c:v>2014-10-02</c:v>
                </c:pt>
                <c:pt idx="277">
                  <c:v>2014-10-03</c:v>
                </c:pt>
                <c:pt idx="278">
                  <c:v>2014-10-04</c:v>
                </c:pt>
                <c:pt idx="279">
                  <c:v>2014-10-05</c:v>
                </c:pt>
                <c:pt idx="280">
                  <c:v>2014-10-06</c:v>
                </c:pt>
                <c:pt idx="281">
                  <c:v>2014-10-07</c:v>
                </c:pt>
                <c:pt idx="282">
                  <c:v>2014-10-08</c:v>
                </c:pt>
                <c:pt idx="283">
                  <c:v>2014-10-09</c:v>
                </c:pt>
                <c:pt idx="284">
                  <c:v>2014-10-10</c:v>
                </c:pt>
                <c:pt idx="285">
                  <c:v>2014-10-11</c:v>
                </c:pt>
                <c:pt idx="286">
                  <c:v>2014-10-12</c:v>
                </c:pt>
                <c:pt idx="287">
                  <c:v>2014-10-13</c:v>
                </c:pt>
                <c:pt idx="288">
                  <c:v>2014-10-14</c:v>
                </c:pt>
                <c:pt idx="289">
                  <c:v>2014-10-15</c:v>
                </c:pt>
                <c:pt idx="290">
                  <c:v>2014-10-16</c:v>
                </c:pt>
                <c:pt idx="291">
                  <c:v>2014-10-17</c:v>
                </c:pt>
                <c:pt idx="292">
                  <c:v>2014-10-18</c:v>
                </c:pt>
                <c:pt idx="293">
                  <c:v>2014-10-19</c:v>
                </c:pt>
                <c:pt idx="294">
                  <c:v>2014-10-20</c:v>
                </c:pt>
                <c:pt idx="295">
                  <c:v>2014-10-21</c:v>
                </c:pt>
                <c:pt idx="296">
                  <c:v>2014-10-22</c:v>
                </c:pt>
                <c:pt idx="297">
                  <c:v>2014-10-23</c:v>
                </c:pt>
                <c:pt idx="298">
                  <c:v>2014-10-24</c:v>
                </c:pt>
                <c:pt idx="299">
                  <c:v>2014-10-25</c:v>
                </c:pt>
                <c:pt idx="300">
                  <c:v>2014-10-26</c:v>
                </c:pt>
                <c:pt idx="301">
                  <c:v>2014-10-27</c:v>
                </c:pt>
                <c:pt idx="302">
                  <c:v>2014-10-28</c:v>
                </c:pt>
                <c:pt idx="303">
                  <c:v>2014-10-29</c:v>
                </c:pt>
                <c:pt idx="304">
                  <c:v>2014-10-30</c:v>
                </c:pt>
                <c:pt idx="305">
                  <c:v>2014-10-31</c:v>
                </c:pt>
                <c:pt idx="306">
                  <c:v>2014-11-01</c:v>
                </c:pt>
                <c:pt idx="307">
                  <c:v>2014-11-02</c:v>
                </c:pt>
                <c:pt idx="308">
                  <c:v>2014-11-03</c:v>
                </c:pt>
                <c:pt idx="309">
                  <c:v>2014-11-04</c:v>
                </c:pt>
                <c:pt idx="310">
                  <c:v>2014-11-05</c:v>
                </c:pt>
                <c:pt idx="311">
                  <c:v>2014-11-06</c:v>
                </c:pt>
                <c:pt idx="312">
                  <c:v>2014-11-07</c:v>
                </c:pt>
                <c:pt idx="313">
                  <c:v>2014-11-08</c:v>
                </c:pt>
                <c:pt idx="314">
                  <c:v>2014-11-09</c:v>
                </c:pt>
                <c:pt idx="315">
                  <c:v>2014-11-10</c:v>
                </c:pt>
                <c:pt idx="316">
                  <c:v>2014-11-11</c:v>
                </c:pt>
                <c:pt idx="317">
                  <c:v>2014-11-12</c:v>
                </c:pt>
                <c:pt idx="318">
                  <c:v>2014-11-13</c:v>
                </c:pt>
                <c:pt idx="319">
                  <c:v>2014-11-14</c:v>
                </c:pt>
                <c:pt idx="320">
                  <c:v>2014-11-15</c:v>
                </c:pt>
                <c:pt idx="321">
                  <c:v>2014-11-16</c:v>
                </c:pt>
                <c:pt idx="322">
                  <c:v>2014-11-17</c:v>
                </c:pt>
                <c:pt idx="323">
                  <c:v>2014-11-18</c:v>
                </c:pt>
                <c:pt idx="324">
                  <c:v>2014-11-19</c:v>
                </c:pt>
                <c:pt idx="325">
                  <c:v>2014-11-20</c:v>
                </c:pt>
                <c:pt idx="326">
                  <c:v>2014-11-21</c:v>
                </c:pt>
                <c:pt idx="327">
                  <c:v>2014-11-22</c:v>
                </c:pt>
                <c:pt idx="328">
                  <c:v>2014-11-23</c:v>
                </c:pt>
                <c:pt idx="329">
                  <c:v>2014-11-24</c:v>
                </c:pt>
                <c:pt idx="330">
                  <c:v>2014-11-25</c:v>
                </c:pt>
                <c:pt idx="331">
                  <c:v>2014-11-26</c:v>
                </c:pt>
                <c:pt idx="332">
                  <c:v>2014-11-27</c:v>
                </c:pt>
                <c:pt idx="333">
                  <c:v>2014-11-28</c:v>
                </c:pt>
                <c:pt idx="334">
                  <c:v>2014-11-29</c:v>
                </c:pt>
                <c:pt idx="335">
                  <c:v>2014-11-30</c:v>
                </c:pt>
                <c:pt idx="336">
                  <c:v>2014-12-01</c:v>
                </c:pt>
                <c:pt idx="337">
                  <c:v>2014-12-02</c:v>
                </c:pt>
                <c:pt idx="338">
                  <c:v>2014-12-03</c:v>
                </c:pt>
                <c:pt idx="339">
                  <c:v>2014-12-04</c:v>
                </c:pt>
                <c:pt idx="340">
                  <c:v>2014-12-05</c:v>
                </c:pt>
                <c:pt idx="341">
                  <c:v>2014-12-06</c:v>
                </c:pt>
                <c:pt idx="342">
                  <c:v>2014-12-07</c:v>
                </c:pt>
                <c:pt idx="343">
                  <c:v>2014-12-08</c:v>
                </c:pt>
                <c:pt idx="344">
                  <c:v>2014-12-09</c:v>
                </c:pt>
                <c:pt idx="345">
                  <c:v>2014-12-10</c:v>
                </c:pt>
                <c:pt idx="346">
                  <c:v>2014-12-11</c:v>
                </c:pt>
                <c:pt idx="347">
                  <c:v>2014-12-12</c:v>
                </c:pt>
                <c:pt idx="348">
                  <c:v>2014-12-13</c:v>
                </c:pt>
                <c:pt idx="349">
                  <c:v>2014-12-14</c:v>
                </c:pt>
                <c:pt idx="350">
                  <c:v>2014-12-15</c:v>
                </c:pt>
                <c:pt idx="351">
                  <c:v>2014-12-16</c:v>
                </c:pt>
                <c:pt idx="352">
                  <c:v>2014-12-17</c:v>
                </c:pt>
                <c:pt idx="353">
                  <c:v>2014-12-18</c:v>
                </c:pt>
                <c:pt idx="354">
                  <c:v>2014-12-19</c:v>
                </c:pt>
                <c:pt idx="355">
                  <c:v>2014-12-20</c:v>
                </c:pt>
                <c:pt idx="356">
                  <c:v>2014-12-21</c:v>
                </c:pt>
                <c:pt idx="357">
                  <c:v>2014-12-22</c:v>
                </c:pt>
                <c:pt idx="358">
                  <c:v>2014-12-23</c:v>
                </c:pt>
                <c:pt idx="359">
                  <c:v>2014-12-24</c:v>
                </c:pt>
                <c:pt idx="360">
                  <c:v>2014-12-25</c:v>
                </c:pt>
                <c:pt idx="361">
                  <c:v>2014-12-26</c:v>
                </c:pt>
                <c:pt idx="362">
                  <c:v>2014-12-27</c:v>
                </c:pt>
                <c:pt idx="363">
                  <c:v>2014-12-28</c:v>
                </c:pt>
                <c:pt idx="364">
                  <c:v>2014-12-29</c:v>
                </c:pt>
                <c:pt idx="365">
                  <c:v>2014-12-30</c:v>
                </c:pt>
                <c:pt idx="366">
                  <c:v>2014-12-31</c:v>
                </c:pt>
                <c:pt idx="367">
                  <c:v>2015-01-01</c:v>
                </c:pt>
                <c:pt idx="368">
                  <c:v>2015-01-02</c:v>
                </c:pt>
                <c:pt idx="369">
                  <c:v>2015-01-03</c:v>
                </c:pt>
                <c:pt idx="370">
                  <c:v>2015-01-04</c:v>
                </c:pt>
                <c:pt idx="371">
                  <c:v>2015-01-05</c:v>
                </c:pt>
                <c:pt idx="372">
                  <c:v>2015-01-06</c:v>
                </c:pt>
                <c:pt idx="373">
                  <c:v>2015-01-07</c:v>
                </c:pt>
                <c:pt idx="374">
                  <c:v>2015-01-08</c:v>
                </c:pt>
                <c:pt idx="375">
                  <c:v>2015-01-09</c:v>
                </c:pt>
                <c:pt idx="376">
                  <c:v>2015-01-10</c:v>
                </c:pt>
                <c:pt idx="377">
                  <c:v>2015-01-11</c:v>
                </c:pt>
                <c:pt idx="378">
                  <c:v>2015-01-12</c:v>
                </c:pt>
                <c:pt idx="379">
                  <c:v>2015-01-13</c:v>
                </c:pt>
                <c:pt idx="380">
                  <c:v>2015-01-14</c:v>
                </c:pt>
                <c:pt idx="381">
                  <c:v>2015-01-15</c:v>
                </c:pt>
                <c:pt idx="382">
                  <c:v>2015-01-16</c:v>
                </c:pt>
                <c:pt idx="383">
                  <c:v>2015-01-17</c:v>
                </c:pt>
                <c:pt idx="384">
                  <c:v>2015-01-18</c:v>
                </c:pt>
                <c:pt idx="385">
                  <c:v>2015-01-19</c:v>
                </c:pt>
                <c:pt idx="386">
                  <c:v>2015-01-20</c:v>
                </c:pt>
                <c:pt idx="387">
                  <c:v>2015-01-21</c:v>
                </c:pt>
                <c:pt idx="388">
                  <c:v>2015-01-22</c:v>
                </c:pt>
                <c:pt idx="389">
                  <c:v>2015-01-23</c:v>
                </c:pt>
                <c:pt idx="390">
                  <c:v>2015-01-24</c:v>
                </c:pt>
                <c:pt idx="391">
                  <c:v>2015-01-25</c:v>
                </c:pt>
                <c:pt idx="392">
                  <c:v>2015-01-26</c:v>
                </c:pt>
                <c:pt idx="393">
                  <c:v>2015-01-27</c:v>
                </c:pt>
                <c:pt idx="394">
                  <c:v>2015-01-28</c:v>
                </c:pt>
                <c:pt idx="395">
                  <c:v>2015-01-29</c:v>
                </c:pt>
                <c:pt idx="396">
                  <c:v>2015-01-30</c:v>
                </c:pt>
                <c:pt idx="397">
                  <c:v>2015-01-31</c:v>
                </c:pt>
                <c:pt idx="398">
                  <c:v>2015-02-01</c:v>
                </c:pt>
                <c:pt idx="399">
                  <c:v>2015-02-02</c:v>
                </c:pt>
                <c:pt idx="400">
                  <c:v>2015-02-03</c:v>
                </c:pt>
                <c:pt idx="401">
                  <c:v>2015-02-04</c:v>
                </c:pt>
                <c:pt idx="402">
                  <c:v>2015-02-05</c:v>
                </c:pt>
                <c:pt idx="403">
                  <c:v>2015-02-06</c:v>
                </c:pt>
                <c:pt idx="404">
                  <c:v>2015-02-07</c:v>
                </c:pt>
                <c:pt idx="405">
                  <c:v>2015-02-08</c:v>
                </c:pt>
                <c:pt idx="406">
                  <c:v>2015-02-09</c:v>
                </c:pt>
                <c:pt idx="407">
                  <c:v>2015-02-10</c:v>
                </c:pt>
                <c:pt idx="408">
                  <c:v>2015-02-11</c:v>
                </c:pt>
                <c:pt idx="409">
                  <c:v>2015-02-12</c:v>
                </c:pt>
                <c:pt idx="410">
                  <c:v>2015-02-13</c:v>
                </c:pt>
                <c:pt idx="411">
                  <c:v>2015-02-14</c:v>
                </c:pt>
                <c:pt idx="412">
                  <c:v>2015-02-15</c:v>
                </c:pt>
                <c:pt idx="413">
                  <c:v>2015-02-16</c:v>
                </c:pt>
                <c:pt idx="414">
                  <c:v>2015-02-17</c:v>
                </c:pt>
                <c:pt idx="415">
                  <c:v>2015-02-18</c:v>
                </c:pt>
                <c:pt idx="416">
                  <c:v>2015-02-19</c:v>
                </c:pt>
                <c:pt idx="417">
                  <c:v>2015-02-20</c:v>
                </c:pt>
                <c:pt idx="418">
                  <c:v>2015-02-21</c:v>
                </c:pt>
                <c:pt idx="419">
                  <c:v>2015-02-22</c:v>
                </c:pt>
                <c:pt idx="420">
                  <c:v>2015-02-23</c:v>
                </c:pt>
                <c:pt idx="421">
                  <c:v>2015-02-24</c:v>
                </c:pt>
                <c:pt idx="422">
                  <c:v>2015-02-25</c:v>
                </c:pt>
                <c:pt idx="423">
                  <c:v>2015-02-26</c:v>
                </c:pt>
                <c:pt idx="424">
                  <c:v>2015-02-27</c:v>
                </c:pt>
                <c:pt idx="425">
                  <c:v>2015-02-28</c:v>
                </c:pt>
                <c:pt idx="426">
                  <c:v>2015-03-01</c:v>
                </c:pt>
                <c:pt idx="427">
                  <c:v>2015-03-02</c:v>
                </c:pt>
                <c:pt idx="428">
                  <c:v>2015-03-03</c:v>
                </c:pt>
                <c:pt idx="429">
                  <c:v>2015-03-04</c:v>
                </c:pt>
                <c:pt idx="430">
                  <c:v>2015-03-05</c:v>
                </c:pt>
                <c:pt idx="431">
                  <c:v>2015-03-06</c:v>
                </c:pt>
                <c:pt idx="432">
                  <c:v>2015-03-07</c:v>
                </c:pt>
                <c:pt idx="433">
                  <c:v>2015-03-08</c:v>
                </c:pt>
                <c:pt idx="434">
                  <c:v>2015-03-09</c:v>
                </c:pt>
                <c:pt idx="435">
                  <c:v>2015-03-10</c:v>
                </c:pt>
                <c:pt idx="436">
                  <c:v>2015-03-11</c:v>
                </c:pt>
                <c:pt idx="437">
                  <c:v>2015-03-12</c:v>
                </c:pt>
                <c:pt idx="438">
                  <c:v>2015-03-13</c:v>
                </c:pt>
                <c:pt idx="439">
                  <c:v>2015-03-14</c:v>
                </c:pt>
                <c:pt idx="440">
                  <c:v>2015-03-15</c:v>
                </c:pt>
                <c:pt idx="441">
                  <c:v>2015-03-16</c:v>
                </c:pt>
                <c:pt idx="442">
                  <c:v>2015-03-17</c:v>
                </c:pt>
                <c:pt idx="443">
                  <c:v>2015-03-18</c:v>
                </c:pt>
                <c:pt idx="444">
                  <c:v>2015-03-19</c:v>
                </c:pt>
                <c:pt idx="445">
                  <c:v>2015-03-20</c:v>
                </c:pt>
                <c:pt idx="446">
                  <c:v>2015-03-21</c:v>
                </c:pt>
                <c:pt idx="447">
                  <c:v>2015-03-22</c:v>
                </c:pt>
                <c:pt idx="448">
                  <c:v>2015-03-23</c:v>
                </c:pt>
                <c:pt idx="449">
                  <c:v>2015-03-24</c:v>
                </c:pt>
                <c:pt idx="450">
                  <c:v>2015-03-25</c:v>
                </c:pt>
                <c:pt idx="451">
                  <c:v>2015-03-26</c:v>
                </c:pt>
                <c:pt idx="452">
                  <c:v>2015-03-27</c:v>
                </c:pt>
                <c:pt idx="453">
                  <c:v>2015-03-28</c:v>
                </c:pt>
                <c:pt idx="454">
                  <c:v>2015-03-29</c:v>
                </c:pt>
                <c:pt idx="455">
                  <c:v>2015-03-30</c:v>
                </c:pt>
                <c:pt idx="456">
                  <c:v>2015-03-31</c:v>
                </c:pt>
                <c:pt idx="457">
                  <c:v>2015-04-01</c:v>
                </c:pt>
                <c:pt idx="458">
                  <c:v>2015-04-02</c:v>
                </c:pt>
                <c:pt idx="459">
                  <c:v>2015-04-03</c:v>
                </c:pt>
                <c:pt idx="460">
                  <c:v>2015-04-04</c:v>
                </c:pt>
                <c:pt idx="461">
                  <c:v>2015-04-05</c:v>
                </c:pt>
                <c:pt idx="462">
                  <c:v>2015-04-06</c:v>
                </c:pt>
                <c:pt idx="463">
                  <c:v>2015-04-07</c:v>
                </c:pt>
                <c:pt idx="464">
                  <c:v>2015-04-08</c:v>
                </c:pt>
                <c:pt idx="465">
                  <c:v>2015-04-09</c:v>
                </c:pt>
                <c:pt idx="466">
                  <c:v>2015-04-10</c:v>
                </c:pt>
                <c:pt idx="467">
                  <c:v>2015-04-11</c:v>
                </c:pt>
                <c:pt idx="468">
                  <c:v>2015-04-12</c:v>
                </c:pt>
                <c:pt idx="469">
                  <c:v>2015-04-13</c:v>
                </c:pt>
                <c:pt idx="470">
                  <c:v>2015-04-14</c:v>
                </c:pt>
                <c:pt idx="471">
                  <c:v>2015-04-15</c:v>
                </c:pt>
                <c:pt idx="472">
                  <c:v>2015-04-16</c:v>
                </c:pt>
                <c:pt idx="473">
                  <c:v>2015-04-17</c:v>
                </c:pt>
                <c:pt idx="474">
                  <c:v>2015-04-18</c:v>
                </c:pt>
                <c:pt idx="475">
                  <c:v>2015-04-19</c:v>
                </c:pt>
                <c:pt idx="476">
                  <c:v>2015-04-20</c:v>
                </c:pt>
                <c:pt idx="477">
                  <c:v>2015-04-21</c:v>
                </c:pt>
                <c:pt idx="478">
                  <c:v>2015-04-22</c:v>
                </c:pt>
                <c:pt idx="479">
                  <c:v>2015-04-23</c:v>
                </c:pt>
                <c:pt idx="480">
                  <c:v>2015-04-24</c:v>
                </c:pt>
                <c:pt idx="481">
                  <c:v>2015-04-25</c:v>
                </c:pt>
                <c:pt idx="482">
                  <c:v>2015-04-26</c:v>
                </c:pt>
                <c:pt idx="483">
                  <c:v>2015-04-27</c:v>
                </c:pt>
                <c:pt idx="484">
                  <c:v>2015-04-28</c:v>
                </c:pt>
                <c:pt idx="485">
                  <c:v>2015-04-29</c:v>
                </c:pt>
                <c:pt idx="486">
                  <c:v>2015-04-30</c:v>
                </c:pt>
                <c:pt idx="487">
                  <c:v>2015-05-01</c:v>
                </c:pt>
                <c:pt idx="488">
                  <c:v>2015-05-02</c:v>
                </c:pt>
                <c:pt idx="489">
                  <c:v>2015-05-03</c:v>
                </c:pt>
                <c:pt idx="490">
                  <c:v>2015-05-04</c:v>
                </c:pt>
                <c:pt idx="491">
                  <c:v>2015-05-05</c:v>
                </c:pt>
                <c:pt idx="492">
                  <c:v>2015-05-06</c:v>
                </c:pt>
                <c:pt idx="493">
                  <c:v>2015-05-07</c:v>
                </c:pt>
                <c:pt idx="494">
                  <c:v>2015-05-08</c:v>
                </c:pt>
                <c:pt idx="495">
                  <c:v>2015-05-09</c:v>
                </c:pt>
                <c:pt idx="496">
                  <c:v>2015-05-10</c:v>
                </c:pt>
                <c:pt idx="497">
                  <c:v>2015-05-11</c:v>
                </c:pt>
                <c:pt idx="498">
                  <c:v>2015-05-12</c:v>
                </c:pt>
                <c:pt idx="499">
                  <c:v>2015-05-13</c:v>
                </c:pt>
                <c:pt idx="500">
                  <c:v>2015-05-14</c:v>
                </c:pt>
                <c:pt idx="501">
                  <c:v>2015-05-15</c:v>
                </c:pt>
                <c:pt idx="502">
                  <c:v>2015-05-16</c:v>
                </c:pt>
                <c:pt idx="503">
                  <c:v>2015-05-17</c:v>
                </c:pt>
                <c:pt idx="504">
                  <c:v>2015-05-18</c:v>
                </c:pt>
                <c:pt idx="505">
                  <c:v>2015-05-19</c:v>
                </c:pt>
                <c:pt idx="506">
                  <c:v>2015-05-20</c:v>
                </c:pt>
                <c:pt idx="507">
                  <c:v>2015-05-21</c:v>
                </c:pt>
                <c:pt idx="508">
                  <c:v>2015-05-22</c:v>
                </c:pt>
                <c:pt idx="509">
                  <c:v>2015-05-23</c:v>
                </c:pt>
                <c:pt idx="510">
                  <c:v>2015-05-24</c:v>
                </c:pt>
                <c:pt idx="511">
                  <c:v>2015-05-25</c:v>
                </c:pt>
                <c:pt idx="512">
                  <c:v>2015-05-26</c:v>
                </c:pt>
                <c:pt idx="513">
                  <c:v>2015-05-27</c:v>
                </c:pt>
                <c:pt idx="514">
                  <c:v>2015-05-28</c:v>
                </c:pt>
                <c:pt idx="515">
                  <c:v>2015-05-29</c:v>
                </c:pt>
                <c:pt idx="516">
                  <c:v>2015-05-30</c:v>
                </c:pt>
                <c:pt idx="517">
                  <c:v>2015-05-31</c:v>
                </c:pt>
                <c:pt idx="518">
                  <c:v>2015-06-01</c:v>
                </c:pt>
                <c:pt idx="519">
                  <c:v>2015-06-02</c:v>
                </c:pt>
                <c:pt idx="520">
                  <c:v>2015-06-03</c:v>
                </c:pt>
                <c:pt idx="521">
                  <c:v>2015-06-04</c:v>
                </c:pt>
                <c:pt idx="522">
                  <c:v>2015-06-05</c:v>
                </c:pt>
                <c:pt idx="523">
                  <c:v>2015-06-06</c:v>
                </c:pt>
                <c:pt idx="524">
                  <c:v>2015-06-07</c:v>
                </c:pt>
                <c:pt idx="525">
                  <c:v>2015-06-08</c:v>
                </c:pt>
                <c:pt idx="526">
                  <c:v>2015-06-09</c:v>
                </c:pt>
                <c:pt idx="527">
                  <c:v>2015-06-10</c:v>
                </c:pt>
                <c:pt idx="528">
                  <c:v>2015-06-11</c:v>
                </c:pt>
                <c:pt idx="529">
                  <c:v>2015-06-12</c:v>
                </c:pt>
                <c:pt idx="530">
                  <c:v>2015-06-13</c:v>
                </c:pt>
                <c:pt idx="531">
                  <c:v>2015-06-14</c:v>
                </c:pt>
                <c:pt idx="532">
                  <c:v>2015-06-15</c:v>
                </c:pt>
                <c:pt idx="533">
                  <c:v>2015-06-16</c:v>
                </c:pt>
                <c:pt idx="534">
                  <c:v>2015-06-17</c:v>
                </c:pt>
                <c:pt idx="535">
                  <c:v>2015-06-18</c:v>
                </c:pt>
                <c:pt idx="536">
                  <c:v>2015-06-19</c:v>
                </c:pt>
                <c:pt idx="537">
                  <c:v>2015-06-20</c:v>
                </c:pt>
                <c:pt idx="538">
                  <c:v>2015-06-21</c:v>
                </c:pt>
                <c:pt idx="539">
                  <c:v>2015-06-22</c:v>
                </c:pt>
                <c:pt idx="540">
                  <c:v>2015-06-23</c:v>
                </c:pt>
                <c:pt idx="541">
                  <c:v>2015-06-24</c:v>
                </c:pt>
                <c:pt idx="542">
                  <c:v>2015-06-25</c:v>
                </c:pt>
                <c:pt idx="543">
                  <c:v>2015-06-26</c:v>
                </c:pt>
                <c:pt idx="544">
                  <c:v>2015-06-27</c:v>
                </c:pt>
                <c:pt idx="545">
                  <c:v>2015-06-28</c:v>
                </c:pt>
                <c:pt idx="546">
                  <c:v>2015-06-29</c:v>
                </c:pt>
                <c:pt idx="547">
                  <c:v>2015-06-30</c:v>
                </c:pt>
                <c:pt idx="548">
                  <c:v>2015-07-01</c:v>
                </c:pt>
                <c:pt idx="549">
                  <c:v>2015-07-02</c:v>
                </c:pt>
                <c:pt idx="550">
                  <c:v>2015-07-03</c:v>
                </c:pt>
                <c:pt idx="551">
                  <c:v>2015-07-04</c:v>
                </c:pt>
                <c:pt idx="552">
                  <c:v>2015-07-05</c:v>
                </c:pt>
                <c:pt idx="553">
                  <c:v>2015-07-06</c:v>
                </c:pt>
                <c:pt idx="554">
                  <c:v>2015-07-07</c:v>
                </c:pt>
                <c:pt idx="555">
                  <c:v>2015-07-08</c:v>
                </c:pt>
                <c:pt idx="556">
                  <c:v>2015-07-09</c:v>
                </c:pt>
                <c:pt idx="557">
                  <c:v>2015-07-10</c:v>
                </c:pt>
                <c:pt idx="558">
                  <c:v>2015-07-11</c:v>
                </c:pt>
                <c:pt idx="559">
                  <c:v>2015-07-12</c:v>
                </c:pt>
                <c:pt idx="560">
                  <c:v>2015-07-13</c:v>
                </c:pt>
                <c:pt idx="561">
                  <c:v>2015-07-14</c:v>
                </c:pt>
                <c:pt idx="562">
                  <c:v>2015-07-15</c:v>
                </c:pt>
                <c:pt idx="563">
                  <c:v>2015-07-16</c:v>
                </c:pt>
                <c:pt idx="564">
                  <c:v>2015-07-17</c:v>
                </c:pt>
                <c:pt idx="565">
                  <c:v>2015-07-18</c:v>
                </c:pt>
                <c:pt idx="566">
                  <c:v>2015-07-19</c:v>
                </c:pt>
                <c:pt idx="567">
                  <c:v>2015-07-20</c:v>
                </c:pt>
                <c:pt idx="568">
                  <c:v>2015-07-21</c:v>
                </c:pt>
                <c:pt idx="569">
                  <c:v>2015-07-22</c:v>
                </c:pt>
                <c:pt idx="570">
                  <c:v>2015-07-23</c:v>
                </c:pt>
                <c:pt idx="571">
                  <c:v>2015-07-24</c:v>
                </c:pt>
                <c:pt idx="572">
                  <c:v>2015-07-25</c:v>
                </c:pt>
                <c:pt idx="573">
                  <c:v>2015-07-26</c:v>
                </c:pt>
                <c:pt idx="574">
                  <c:v>2015-07-27</c:v>
                </c:pt>
                <c:pt idx="575">
                  <c:v>2015-07-28</c:v>
                </c:pt>
                <c:pt idx="576">
                  <c:v>2015-07-29</c:v>
                </c:pt>
                <c:pt idx="577">
                  <c:v>2015-07-30</c:v>
                </c:pt>
                <c:pt idx="578">
                  <c:v>2015-07-31</c:v>
                </c:pt>
                <c:pt idx="579">
                  <c:v>2015-08-01</c:v>
                </c:pt>
                <c:pt idx="580">
                  <c:v>2015-08-02</c:v>
                </c:pt>
                <c:pt idx="581">
                  <c:v>2015-08-03</c:v>
                </c:pt>
                <c:pt idx="582">
                  <c:v>2015-08-04</c:v>
                </c:pt>
                <c:pt idx="583">
                  <c:v>2015-08-05</c:v>
                </c:pt>
                <c:pt idx="584">
                  <c:v>2015-08-06</c:v>
                </c:pt>
                <c:pt idx="585">
                  <c:v>2015-08-07</c:v>
                </c:pt>
                <c:pt idx="586">
                  <c:v>2015-08-08</c:v>
                </c:pt>
                <c:pt idx="587">
                  <c:v>2015-08-09</c:v>
                </c:pt>
                <c:pt idx="588">
                  <c:v>2015-08-10</c:v>
                </c:pt>
                <c:pt idx="589">
                  <c:v>2015-08-11</c:v>
                </c:pt>
                <c:pt idx="590">
                  <c:v>2015-08-12</c:v>
                </c:pt>
                <c:pt idx="591">
                  <c:v>2015-08-13</c:v>
                </c:pt>
                <c:pt idx="592">
                  <c:v>2015-08-14</c:v>
                </c:pt>
                <c:pt idx="593">
                  <c:v>2015-08-15</c:v>
                </c:pt>
                <c:pt idx="594">
                  <c:v>2015-08-16</c:v>
                </c:pt>
                <c:pt idx="595">
                  <c:v>2015-08-17</c:v>
                </c:pt>
                <c:pt idx="596">
                  <c:v>2015-08-18</c:v>
                </c:pt>
                <c:pt idx="597">
                  <c:v>2015-08-19</c:v>
                </c:pt>
                <c:pt idx="598">
                  <c:v>2015-08-20</c:v>
                </c:pt>
                <c:pt idx="599">
                  <c:v>2015-08-21</c:v>
                </c:pt>
                <c:pt idx="600">
                  <c:v>2015-08-22</c:v>
                </c:pt>
                <c:pt idx="601">
                  <c:v>2015-08-23</c:v>
                </c:pt>
                <c:pt idx="602">
                  <c:v>2015-08-24</c:v>
                </c:pt>
                <c:pt idx="603">
                  <c:v>2015-08-25</c:v>
                </c:pt>
                <c:pt idx="604">
                  <c:v>2015-08-26</c:v>
                </c:pt>
                <c:pt idx="605">
                  <c:v>2015-08-27</c:v>
                </c:pt>
                <c:pt idx="606">
                  <c:v>2015-08-28</c:v>
                </c:pt>
                <c:pt idx="607">
                  <c:v>2015-08-29</c:v>
                </c:pt>
                <c:pt idx="608">
                  <c:v>2015-08-30</c:v>
                </c:pt>
                <c:pt idx="609">
                  <c:v>2015-08-31</c:v>
                </c:pt>
                <c:pt idx="610">
                  <c:v>2015-09-01</c:v>
                </c:pt>
                <c:pt idx="611">
                  <c:v>2015-09-02</c:v>
                </c:pt>
                <c:pt idx="612">
                  <c:v>2015-09-03</c:v>
                </c:pt>
                <c:pt idx="613">
                  <c:v>2015-09-04</c:v>
                </c:pt>
                <c:pt idx="614">
                  <c:v>2015-09-05</c:v>
                </c:pt>
                <c:pt idx="615">
                  <c:v>2015-09-06</c:v>
                </c:pt>
                <c:pt idx="616">
                  <c:v>2015-09-07</c:v>
                </c:pt>
                <c:pt idx="617">
                  <c:v>2015-09-08</c:v>
                </c:pt>
                <c:pt idx="618">
                  <c:v>2015-09-09</c:v>
                </c:pt>
                <c:pt idx="619">
                  <c:v>2015-09-10</c:v>
                </c:pt>
                <c:pt idx="620">
                  <c:v>2015-09-11</c:v>
                </c:pt>
                <c:pt idx="621">
                  <c:v>2015-09-12</c:v>
                </c:pt>
                <c:pt idx="622">
                  <c:v>2015-09-13</c:v>
                </c:pt>
                <c:pt idx="623">
                  <c:v>2015-09-14</c:v>
                </c:pt>
                <c:pt idx="624">
                  <c:v>2015-09-15</c:v>
                </c:pt>
                <c:pt idx="625">
                  <c:v>2015-09-16</c:v>
                </c:pt>
                <c:pt idx="626">
                  <c:v>2015-09-17</c:v>
                </c:pt>
                <c:pt idx="627">
                  <c:v>2015-09-18</c:v>
                </c:pt>
                <c:pt idx="628">
                  <c:v>2015-09-19</c:v>
                </c:pt>
                <c:pt idx="629">
                  <c:v>2015-09-20</c:v>
                </c:pt>
                <c:pt idx="630">
                  <c:v>2015-09-21</c:v>
                </c:pt>
                <c:pt idx="631">
                  <c:v>2015-09-22</c:v>
                </c:pt>
                <c:pt idx="632">
                  <c:v>2015-09-23</c:v>
                </c:pt>
                <c:pt idx="633">
                  <c:v>2015-09-24</c:v>
                </c:pt>
                <c:pt idx="634">
                  <c:v>2015-09-25</c:v>
                </c:pt>
                <c:pt idx="635">
                  <c:v>2015-09-26</c:v>
                </c:pt>
                <c:pt idx="636">
                  <c:v>2015-09-27</c:v>
                </c:pt>
                <c:pt idx="637">
                  <c:v>2015-09-28</c:v>
                </c:pt>
                <c:pt idx="638">
                  <c:v>2015-09-29</c:v>
                </c:pt>
                <c:pt idx="639">
                  <c:v>2015-09-30</c:v>
                </c:pt>
                <c:pt idx="640">
                  <c:v>2015-10-01</c:v>
                </c:pt>
                <c:pt idx="641">
                  <c:v>2015-10-02</c:v>
                </c:pt>
                <c:pt idx="642">
                  <c:v>2015-10-03</c:v>
                </c:pt>
                <c:pt idx="643">
                  <c:v>2015-10-04</c:v>
                </c:pt>
                <c:pt idx="644">
                  <c:v>2015-10-05</c:v>
                </c:pt>
                <c:pt idx="645">
                  <c:v>2015-10-06</c:v>
                </c:pt>
                <c:pt idx="646">
                  <c:v>2015-10-07</c:v>
                </c:pt>
                <c:pt idx="647">
                  <c:v>2015-10-08</c:v>
                </c:pt>
                <c:pt idx="648">
                  <c:v>2015-10-09</c:v>
                </c:pt>
                <c:pt idx="649">
                  <c:v>2015-10-10</c:v>
                </c:pt>
                <c:pt idx="650">
                  <c:v>2015-10-11</c:v>
                </c:pt>
                <c:pt idx="651">
                  <c:v>2015-10-12</c:v>
                </c:pt>
                <c:pt idx="652">
                  <c:v>2015-10-13</c:v>
                </c:pt>
                <c:pt idx="653">
                  <c:v>2015-10-14</c:v>
                </c:pt>
                <c:pt idx="654">
                  <c:v>2015-10-15</c:v>
                </c:pt>
                <c:pt idx="655">
                  <c:v>2015-10-16</c:v>
                </c:pt>
                <c:pt idx="656">
                  <c:v>2015-10-17</c:v>
                </c:pt>
                <c:pt idx="657">
                  <c:v>2015-10-18</c:v>
                </c:pt>
                <c:pt idx="658">
                  <c:v>2015-10-19</c:v>
                </c:pt>
                <c:pt idx="659">
                  <c:v>2015-10-20</c:v>
                </c:pt>
                <c:pt idx="660">
                  <c:v>2015-10-21</c:v>
                </c:pt>
                <c:pt idx="661">
                  <c:v>2015-10-22</c:v>
                </c:pt>
                <c:pt idx="662">
                  <c:v>2015-10-23</c:v>
                </c:pt>
                <c:pt idx="663">
                  <c:v>2015-10-24</c:v>
                </c:pt>
                <c:pt idx="664">
                  <c:v>2015-10-25</c:v>
                </c:pt>
                <c:pt idx="665">
                  <c:v>2015-10-26</c:v>
                </c:pt>
                <c:pt idx="666">
                  <c:v>2015-10-27</c:v>
                </c:pt>
                <c:pt idx="667">
                  <c:v>2015-10-28</c:v>
                </c:pt>
                <c:pt idx="668">
                  <c:v>2015-10-29</c:v>
                </c:pt>
                <c:pt idx="669">
                  <c:v>2015-10-30</c:v>
                </c:pt>
                <c:pt idx="670">
                  <c:v>2015-10-31</c:v>
                </c:pt>
                <c:pt idx="671">
                  <c:v>2015-11-01</c:v>
                </c:pt>
                <c:pt idx="672">
                  <c:v>2015-11-02</c:v>
                </c:pt>
                <c:pt idx="673">
                  <c:v>2015-11-03</c:v>
                </c:pt>
                <c:pt idx="674">
                  <c:v>2015-11-04</c:v>
                </c:pt>
                <c:pt idx="675">
                  <c:v>2015-11-05</c:v>
                </c:pt>
                <c:pt idx="676">
                  <c:v>2015-11-06</c:v>
                </c:pt>
                <c:pt idx="677">
                  <c:v>2015-11-07</c:v>
                </c:pt>
                <c:pt idx="678">
                  <c:v>2015-11-08</c:v>
                </c:pt>
                <c:pt idx="679">
                  <c:v>2015-11-09</c:v>
                </c:pt>
                <c:pt idx="680">
                  <c:v>2015-11-10</c:v>
                </c:pt>
                <c:pt idx="681">
                  <c:v>2015-11-11</c:v>
                </c:pt>
                <c:pt idx="682">
                  <c:v>2015-11-12</c:v>
                </c:pt>
                <c:pt idx="683">
                  <c:v>2015-11-13</c:v>
                </c:pt>
                <c:pt idx="684">
                  <c:v>2015-11-14</c:v>
                </c:pt>
                <c:pt idx="685">
                  <c:v>2015-11-15</c:v>
                </c:pt>
                <c:pt idx="686">
                  <c:v>2015-11-16</c:v>
                </c:pt>
                <c:pt idx="687">
                  <c:v>2015-11-17</c:v>
                </c:pt>
                <c:pt idx="688">
                  <c:v>2015-11-18</c:v>
                </c:pt>
                <c:pt idx="689">
                  <c:v>2015-11-19</c:v>
                </c:pt>
                <c:pt idx="690">
                  <c:v>2015-11-20</c:v>
                </c:pt>
                <c:pt idx="691">
                  <c:v>2015-11-21</c:v>
                </c:pt>
                <c:pt idx="692">
                  <c:v>2015-11-22</c:v>
                </c:pt>
                <c:pt idx="693">
                  <c:v>2015-11-23</c:v>
                </c:pt>
                <c:pt idx="694">
                  <c:v>2015-11-24</c:v>
                </c:pt>
                <c:pt idx="695">
                  <c:v>2015-11-25</c:v>
                </c:pt>
                <c:pt idx="696">
                  <c:v>2015-11-26</c:v>
                </c:pt>
                <c:pt idx="697">
                  <c:v>2015-11-27</c:v>
                </c:pt>
                <c:pt idx="698">
                  <c:v>2015-11-28</c:v>
                </c:pt>
                <c:pt idx="699">
                  <c:v>2015-11-29</c:v>
                </c:pt>
                <c:pt idx="700">
                  <c:v>2015-11-30</c:v>
                </c:pt>
                <c:pt idx="701">
                  <c:v>2015-12-01</c:v>
                </c:pt>
                <c:pt idx="702">
                  <c:v>2015-12-02</c:v>
                </c:pt>
                <c:pt idx="703">
                  <c:v>2015-12-03</c:v>
                </c:pt>
                <c:pt idx="704">
                  <c:v>2015-12-04</c:v>
                </c:pt>
                <c:pt idx="705">
                  <c:v>2015-12-05</c:v>
                </c:pt>
                <c:pt idx="706">
                  <c:v>2015-12-06</c:v>
                </c:pt>
                <c:pt idx="707">
                  <c:v>2015-12-07</c:v>
                </c:pt>
                <c:pt idx="708">
                  <c:v>2015-12-08</c:v>
                </c:pt>
                <c:pt idx="709">
                  <c:v>2015-12-09</c:v>
                </c:pt>
                <c:pt idx="710">
                  <c:v>2015-12-10</c:v>
                </c:pt>
                <c:pt idx="711">
                  <c:v>2015-12-11</c:v>
                </c:pt>
                <c:pt idx="712">
                  <c:v>2015-12-12</c:v>
                </c:pt>
                <c:pt idx="713">
                  <c:v>2015-12-13</c:v>
                </c:pt>
                <c:pt idx="714">
                  <c:v>2015-12-14</c:v>
                </c:pt>
                <c:pt idx="715">
                  <c:v>2015-12-15</c:v>
                </c:pt>
                <c:pt idx="716">
                  <c:v>2015-12-16</c:v>
                </c:pt>
                <c:pt idx="717">
                  <c:v>2015-12-17</c:v>
                </c:pt>
                <c:pt idx="718">
                  <c:v>2015-12-18</c:v>
                </c:pt>
                <c:pt idx="719">
                  <c:v>2015-12-19</c:v>
                </c:pt>
                <c:pt idx="720">
                  <c:v>2015-12-20</c:v>
                </c:pt>
                <c:pt idx="721">
                  <c:v>2015-12-21</c:v>
                </c:pt>
                <c:pt idx="722">
                  <c:v>2015-12-22</c:v>
                </c:pt>
                <c:pt idx="723">
                  <c:v>2015-12-23</c:v>
                </c:pt>
                <c:pt idx="724">
                  <c:v>2015-12-24</c:v>
                </c:pt>
                <c:pt idx="725">
                  <c:v>2015-12-25</c:v>
                </c:pt>
                <c:pt idx="726">
                  <c:v>2015-12-26</c:v>
                </c:pt>
                <c:pt idx="727">
                  <c:v>2015-12-27</c:v>
                </c:pt>
                <c:pt idx="728">
                  <c:v>2015-12-28</c:v>
                </c:pt>
                <c:pt idx="729">
                  <c:v>2015-12-29</c:v>
                </c:pt>
                <c:pt idx="730">
                  <c:v>2015-12-30</c:v>
                </c:pt>
                <c:pt idx="731">
                  <c:v>2015-12-31</c:v>
                </c:pt>
                <c:pt idx="732">
                  <c:v>2016-01-01</c:v>
                </c:pt>
                <c:pt idx="733">
                  <c:v>2016-01-02</c:v>
                </c:pt>
                <c:pt idx="734">
                  <c:v>2016-01-03</c:v>
                </c:pt>
                <c:pt idx="735">
                  <c:v>2016-01-04</c:v>
                </c:pt>
                <c:pt idx="736">
                  <c:v>2016-01-05</c:v>
                </c:pt>
                <c:pt idx="737">
                  <c:v>2016-01-06</c:v>
                </c:pt>
                <c:pt idx="738">
                  <c:v>2016-01-07</c:v>
                </c:pt>
                <c:pt idx="739">
                  <c:v>2016-01-08</c:v>
                </c:pt>
                <c:pt idx="740">
                  <c:v>2016-01-09</c:v>
                </c:pt>
                <c:pt idx="741">
                  <c:v>2016-01-10</c:v>
                </c:pt>
                <c:pt idx="742">
                  <c:v>2016-01-11</c:v>
                </c:pt>
                <c:pt idx="743">
                  <c:v>2016-01-12</c:v>
                </c:pt>
                <c:pt idx="744">
                  <c:v>2016-01-13</c:v>
                </c:pt>
                <c:pt idx="745">
                  <c:v>2016-01-14</c:v>
                </c:pt>
                <c:pt idx="746">
                  <c:v>2016-01-15</c:v>
                </c:pt>
                <c:pt idx="747">
                  <c:v>2016-01-16</c:v>
                </c:pt>
                <c:pt idx="748">
                  <c:v>2016-01-17</c:v>
                </c:pt>
                <c:pt idx="749">
                  <c:v>2016-01-18</c:v>
                </c:pt>
                <c:pt idx="750">
                  <c:v>2016-01-19</c:v>
                </c:pt>
                <c:pt idx="751">
                  <c:v>2016-01-20</c:v>
                </c:pt>
                <c:pt idx="752">
                  <c:v>2016-01-21</c:v>
                </c:pt>
                <c:pt idx="753">
                  <c:v>2016-01-22</c:v>
                </c:pt>
                <c:pt idx="754">
                  <c:v>2016-01-23</c:v>
                </c:pt>
                <c:pt idx="755">
                  <c:v>2016-01-24</c:v>
                </c:pt>
                <c:pt idx="756">
                  <c:v>2016-01-25</c:v>
                </c:pt>
                <c:pt idx="757">
                  <c:v>2016-01-26</c:v>
                </c:pt>
                <c:pt idx="758">
                  <c:v>2016-01-27</c:v>
                </c:pt>
                <c:pt idx="759">
                  <c:v>2016-01-28</c:v>
                </c:pt>
                <c:pt idx="760">
                  <c:v>2016-01-29</c:v>
                </c:pt>
                <c:pt idx="761">
                  <c:v>2016-01-30</c:v>
                </c:pt>
                <c:pt idx="762">
                  <c:v>2016-01-31</c:v>
                </c:pt>
                <c:pt idx="763">
                  <c:v>2016-02-01</c:v>
                </c:pt>
                <c:pt idx="764">
                  <c:v>2016-02-02</c:v>
                </c:pt>
                <c:pt idx="765">
                  <c:v>2016-02-03</c:v>
                </c:pt>
                <c:pt idx="766">
                  <c:v>2016-02-04</c:v>
                </c:pt>
                <c:pt idx="767">
                  <c:v>2016-02-05</c:v>
                </c:pt>
                <c:pt idx="768">
                  <c:v>2016-02-06</c:v>
                </c:pt>
                <c:pt idx="769">
                  <c:v>2016-02-07</c:v>
                </c:pt>
                <c:pt idx="770">
                  <c:v>2016-02-08</c:v>
                </c:pt>
                <c:pt idx="771">
                  <c:v>2016-02-09</c:v>
                </c:pt>
                <c:pt idx="772">
                  <c:v>2016-02-10</c:v>
                </c:pt>
                <c:pt idx="773">
                  <c:v>2016-02-11</c:v>
                </c:pt>
                <c:pt idx="774">
                  <c:v>2016-02-12</c:v>
                </c:pt>
                <c:pt idx="775">
                  <c:v>2016-02-13</c:v>
                </c:pt>
                <c:pt idx="776">
                  <c:v>2016-02-14</c:v>
                </c:pt>
                <c:pt idx="777">
                  <c:v>2016-02-15</c:v>
                </c:pt>
                <c:pt idx="778">
                  <c:v>2016-02-16</c:v>
                </c:pt>
                <c:pt idx="779">
                  <c:v>2016-02-17</c:v>
                </c:pt>
                <c:pt idx="780">
                  <c:v>2016-02-18</c:v>
                </c:pt>
                <c:pt idx="781">
                  <c:v>2016-02-19</c:v>
                </c:pt>
                <c:pt idx="782">
                  <c:v>2016-02-20</c:v>
                </c:pt>
                <c:pt idx="783">
                  <c:v>2016-02-21</c:v>
                </c:pt>
                <c:pt idx="784">
                  <c:v>2016-02-22</c:v>
                </c:pt>
                <c:pt idx="785">
                  <c:v>2016-02-23</c:v>
                </c:pt>
                <c:pt idx="786">
                  <c:v>2016-02-24</c:v>
                </c:pt>
                <c:pt idx="787">
                  <c:v>2016-02-25</c:v>
                </c:pt>
                <c:pt idx="788">
                  <c:v>2016-02-26</c:v>
                </c:pt>
                <c:pt idx="789">
                  <c:v>2016-02-27</c:v>
                </c:pt>
                <c:pt idx="790">
                  <c:v>2016-02-28</c:v>
                </c:pt>
                <c:pt idx="791">
                  <c:v>2016-02-29</c:v>
                </c:pt>
                <c:pt idx="792">
                  <c:v>2016-03-01</c:v>
                </c:pt>
                <c:pt idx="793">
                  <c:v>2016-03-02</c:v>
                </c:pt>
                <c:pt idx="794">
                  <c:v>2016-03-03</c:v>
                </c:pt>
                <c:pt idx="795">
                  <c:v>2016-03-04</c:v>
                </c:pt>
                <c:pt idx="796">
                  <c:v>2016-03-05</c:v>
                </c:pt>
                <c:pt idx="797">
                  <c:v>2016-03-06</c:v>
                </c:pt>
                <c:pt idx="798">
                  <c:v>2016-03-07</c:v>
                </c:pt>
                <c:pt idx="799">
                  <c:v>2016-03-08</c:v>
                </c:pt>
                <c:pt idx="800">
                  <c:v>2016-03-09</c:v>
                </c:pt>
                <c:pt idx="801">
                  <c:v>2016-03-10</c:v>
                </c:pt>
                <c:pt idx="802">
                  <c:v>2016-03-11</c:v>
                </c:pt>
                <c:pt idx="803">
                  <c:v>2016-03-12</c:v>
                </c:pt>
                <c:pt idx="804">
                  <c:v>2016-03-13</c:v>
                </c:pt>
                <c:pt idx="805">
                  <c:v>2016-03-14</c:v>
                </c:pt>
                <c:pt idx="806">
                  <c:v>2016-03-15</c:v>
                </c:pt>
                <c:pt idx="807">
                  <c:v>2016-03-16</c:v>
                </c:pt>
                <c:pt idx="808">
                  <c:v>2016-03-17</c:v>
                </c:pt>
                <c:pt idx="809">
                  <c:v>2016-03-18</c:v>
                </c:pt>
                <c:pt idx="810">
                  <c:v>2016-03-19</c:v>
                </c:pt>
                <c:pt idx="811">
                  <c:v>2016-03-20</c:v>
                </c:pt>
                <c:pt idx="812">
                  <c:v>2016-03-21</c:v>
                </c:pt>
                <c:pt idx="813">
                  <c:v>2016-03-22</c:v>
                </c:pt>
                <c:pt idx="814">
                  <c:v>2016-03-23</c:v>
                </c:pt>
                <c:pt idx="815">
                  <c:v>2016-03-24</c:v>
                </c:pt>
                <c:pt idx="816">
                  <c:v>2016-03-25</c:v>
                </c:pt>
                <c:pt idx="817">
                  <c:v>2016-03-26</c:v>
                </c:pt>
                <c:pt idx="818">
                  <c:v>2016-03-27</c:v>
                </c:pt>
                <c:pt idx="819">
                  <c:v>2016-03-28</c:v>
                </c:pt>
                <c:pt idx="820">
                  <c:v>2016-03-29</c:v>
                </c:pt>
                <c:pt idx="821">
                  <c:v>2016-03-30</c:v>
                </c:pt>
                <c:pt idx="822">
                  <c:v>2016-03-31</c:v>
                </c:pt>
                <c:pt idx="823">
                  <c:v>2016-04-01</c:v>
                </c:pt>
                <c:pt idx="824">
                  <c:v>2016-04-02</c:v>
                </c:pt>
                <c:pt idx="825">
                  <c:v>2016-04-03</c:v>
                </c:pt>
                <c:pt idx="826">
                  <c:v>2016-04-04</c:v>
                </c:pt>
                <c:pt idx="827">
                  <c:v>2016-04-05</c:v>
                </c:pt>
                <c:pt idx="828">
                  <c:v>2016-04-06</c:v>
                </c:pt>
                <c:pt idx="829">
                  <c:v>2016-04-07</c:v>
                </c:pt>
                <c:pt idx="830">
                  <c:v>2016-04-08</c:v>
                </c:pt>
                <c:pt idx="831">
                  <c:v>2016-04-09</c:v>
                </c:pt>
                <c:pt idx="832">
                  <c:v>2016-04-10</c:v>
                </c:pt>
                <c:pt idx="833">
                  <c:v>2016-04-11</c:v>
                </c:pt>
                <c:pt idx="834">
                  <c:v>2016-04-12</c:v>
                </c:pt>
                <c:pt idx="835">
                  <c:v>2016-04-13</c:v>
                </c:pt>
                <c:pt idx="836">
                  <c:v>2016-04-14</c:v>
                </c:pt>
                <c:pt idx="837">
                  <c:v>2016-04-15</c:v>
                </c:pt>
                <c:pt idx="838">
                  <c:v>2016-04-16</c:v>
                </c:pt>
                <c:pt idx="839">
                  <c:v>2016-04-17</c:v>
                </c:pt>
                <c:pt idx="840">
                  <c:v>2016-04-18</c:v>
                </c:pt>
                <c:pt idx="841">
                  <c:v>2016-04-19</c:v>
                </c:pt>
                <c:pt idx="842">
                  <c:v>2016-04-20</c:v>
                </c:pt>
                <c:pt idx="843">
                  <c:v>2016-04-21</c:v>
                </c:pt>
                <c:pt idx="844">
                  <c:v>2016-04-22</c:v>
                </c:pt>
                <c:pt idx="845">
                  <c:v>2016-04-23</c:v>
                </c:pt>
                <c:pt idx="846">
                  <c:v>2016-04-24</c:v>
                </c:pt>
                <c:pt idx="847">
                  <c:v>2016-04-25</c:v>
                </c:pt>
                <c:pt idx="848">
                  <c:v>2016-04-26</c:v>
                </c:pt>
                <c:pt idx="849">
                  <c:v>2016-04-27</c:v>
                </c:pt>
                <c:pt idx="850">
                  <c:v>2016-04-28</c:v>
                </c:pt>
                <c:pt idx="851">
                  <c:v>2016-04-29</c:v>
                </c:pt>
                <c:pt idx="852">
                  <c:v>2016-04-30</c:v>
                </c:pt>
                <c:pt idx="853">
                  <c:v>2016-05-01</c:v>
                </c:pt>
                <c:pt idx="854">
                  <c:v>2016-05-02</c:v>
                </c:pt>
                <c:pt idx="855">
                  <c:v>2016-05-03</c:v>
                </c:pt>
                <c:pt idx="856">
                  <c:v>2016-05-04</c:v>
                </c:pt>
                <c:pt idx="857">
                  <c:v>2016-05-05</c:v>
                </c:pt>
                <c:pt idx="858">
                  <c:v>2016-05-06</c:v>
                </c:pt>
                <c:pt idx="859">
                  <c:v>2016-05-07</c:v>
                </c:pt>
                <c:pt idx="860">
                  <c:v>2016-05-08</c:v>
                </c:pt>
                <c:pt idx="861">
                  <c:v>2016-05-09</c:v>
                </c:pt>
                <c:pt idx="862">
                  <c:v>2016-05-10</c:v>
                </c:pt>
                <c:pt idx="863">
                  <c:v>2016-05-11</c:v>
                </c:pt>
                <c:pt idx="864">
                  <c:v>2016-05-12</c:v>
                </c:pt>
                <c:pt idx="865">
                  <c:v>2016-05-13</c:v>
                </c:pt>
                <c:pt idx="866">
                  <c:v>2016-05-14</c:v>
                </c:pt>
                <c:pt idx="867">
                  <c:v>2016-05-15</c:v>
                </c:pt>
                <c:pt idx="868">
                  <c:v>2016-05-16</c:v>
                </c:pt>
                <c:pt idx="869">
                  <c:v>2016-05-17</c:v>
                </c:pt>
                <c:pt idx="870">
                  <c:v>2016-05-18</c:v>
                </c:pt>
                <c:pt idx="871">
                  <c:v>2016-05-19</c:v>
                </c:pt>
                <c:pt idx="872">
                  <c:v>2016-05-20</c:v>
                </c:pt>
                <c:pt idx="873">
                  <c:v>2016-05-21</c:v>
                </c:pt>
                <c:pt idx="874">
                  <c:v>2016-05-22</c:v>
                </c:pt>
                <c:pt idx="875">
                  <c:v>2016-05-23</c:v>
                </c:pt>
                <c:pt idx="876">
                  <c:v>2016-05-24</c:v>
                </c:pt>
                <c:pt idx="877">
                  <c:v>2016-05-25</c:v>
                </c:pt>
                <c:pt idx="878">
                  <c:v>2016-05-26</c:v>
                </c:pt>
                <c:pt idx="879">
                  <c:v>2016-05-27</c:v>
                </c:pt>
                <c:pt idx="880">
                  <c:v>2016-05-28</c:v>
                </c:pt>
                <c:pt idx="881">
                  <c:v>2016-05-29</c:v>
                </c:pt>
                <c:pt idx="882">
                  <c:v>2016-05-30</c:v>
                </c:pt>
                <c:pt idx="883">
                  <c:v>2016-05-31</c:v>
                </c:pt>
                <c:pt idx="884">
                  <c:v>2016-06-01</c:v>
                </c:pt>
                <c:pt idx="885">
                  <c:v>2016-06-02</c:v>
                </c:pt>
                <c:pt idx="886">
                  <c:v>2016-06-03</c:v>
                </c:pt>
                <c:pt idx="887">
                  <c:v>2016-06-04</c:v>
                </c:pt>
                <c:pt idx="888">
                  <c:v>2016-06-05</c:v>
                </c:pt>
                <c:pt idx="889">
                  <c:v>2016-06-06</c:v>
                </c:pt>
                <c:pt idx="890">
                  <c:v>2016-06-07</c:v>
                </c:pt>
                <c:pt idx="891">
                  <c:v>2016-06-08</c:v>
                </c:pt>
                <c:pt idx="892">
                  <c:v>2016-06-09</c:v>
                </c:pt>
                <c:pt idx="893">
                  <c:v>2016-06-10</c:v>
                </c:pt>
                <c:pt idx="894">
                  <c:v>2016-06-11</c:v>
                </c:pt>
                <c:pt idx="895">
                  <c:v>2016-06-12</c:v>
                </c:pt>
                <c:pt idx="896">
                  <c:v>2016-06-13</c:v>
                </c:pt>
                <c:pt idx="897">
                  <c:v>2016-06-14</c:v>
                </c:pt>
                <c:pt idx="898">
                  <c:v>2016-06-15</c:v>
                </c:pt>
                <c:pt idx="899">
                  <c:v>2016-06-16</c:v>
                </c:pt>
                <c:pt idx="900">
                  <c:v>2016-06-17</c:v>
                </c:pt>
                <c:pt idx="901">
                  <c:v>2016-06-18</c:v>
                </c:pt>
                <c:pt idx="902">
                  <c:v>2016-06-19</c:v>
                </c:pt>
                <c:pt idx="903">
                  <c:v>2016-06-20</c:v>
                </c:pt>
                <c:pt idx="904">
                  <c:v>2016-06-21</c:v>
                </c:pt>
                <c:pt idx="905">
                  <c:v>2016-06-22</c:v>
                </c:pt>
                <c:pt idx="906">
                  <c:v>2016-06-23</c:v>
                </c:pt>
                <c:pt idx="907">
                  <c:v>2016-06-24</c:v>
                </c:pt>
                <c:pt idx="908">
                  <c:v>2016-06-25</c:v>
                </c:pt>
                <c:pt idx="909">
                  <c:v>2016-06-26</c:v>
                </c:pt>
                <c:pt idx="910">
                  <c:v>2016-06-27</c:v>
                </c:pt>
                <c:pt idx="911">
                  <c:v>2016-06-28</c:v>
                </c:pt>
                <c:pt idx="912">
                  <c:v>2016-06-29</c:v>
                </c:pt>
                <c:pt idx="913">
                  <c:v>2016-06-30</c:v>
                </c:pt>
                <c:pt idx="914">
                  <c:v>2016-07-01</c:v>
                </c:pt>
                <c:pt idx="915">
                  <c:v>2016-07-02</c:v>
                </c:pt>
                <c:pt idx="916">
                  <c:v>2016-07-03</c:v>
                </c:pt>
                <c:pt idx="917">
                  <c:v>2016-07-04</c:v>
                </c:pt>
                <c:pt idx="918">
                  <c:v>2016-07-05</c:v>
                </c:pt>
                <c:pt idx="919">
                  <c:v>2016-07-06</c:v>
                </c:pt>
                <c:pt idx="920">
                  <c:v>2016-07-07</c:v>
                </c:pt>
                <c:pt idx="921">
                  <c:v>2016-07-08</c:v>
                </c:pt>
                <c:pt idx="922">
                  <c:v>2016-07-09</c:v>
                </c:pt>
                <c:pt idx="923">
                  <c:v>2016-07-10</c:v>
                </c:pt>
                <c:pt idx="924">
                  <c:v>2016-07-11</c:v>
                </c:pt>
                <c:pt idx="925">
                  <c:v>2016-07-12</c:v>
                </c:pt>
                <c:pt idx="926">
                  <c:v>2016-07-13</c:v>
                </c:pt>
                <c:pt idx="927">
                  <c:v>2016-07-14</c:v>
                </c:pt>
                <c:pt idx="928">
                  <c:v>2016-07-15</c:v>
                </c:pt>
                <c:pt idx="929">
                  <c:v>2016-07-16</c:v>
                </c:pt>
                <c:pt idx="930">
                  <c:v>2016-07-17</c:v>
                </c:pt>
                <c:pt idx="931">
                  <c:v>2016-07-18</c:v>
                </c:pt>
                <c:pt idx="932">
                  <c:v>2016-07-19</c:v>
                </c:pt>
                <c:pt idx="933">
                  <c:v>2016-07-20</c:v>
                </c:pt>
                <c:pt idx="934">
                  <c:v>2016-07-21</c:v>
                </c:pt>
                <c:pt idx="935">
                  <c:v>2016-07-22</c:v>
                </c:pt>
                <c:pt idx="936">
                  <c:v>2016-07-23</c:v>
                </c:pt>
                <c:pt idx="937">
                  <c:v>2016-07-24</c:v>
                </c:pt>
                <c:pt idx="938">
                  <c:v>2016-07-25</c:v>
                </c:pt>
                <c:pt idx="939">
                  <c:v>2016-07-26</c:v>
                </c:pt>
                <c:pt idx="940">
                  <c:v>2016-07-27</c:v>
                </c:pt>
                <c:pt idx="941">
                  <c:v>2016-07-28</c:v>
                </c:pt>
                <c:pt idx="942">
                  <c:v>2016-07-29</c:v>
                </c:pt>
                <c:pt idx="943">
                  <c:v>2016-07-30</c:v>
                </c:pt>
                <c:pt idx="944">
                  <c:v>2016-07-31</c:v>
                </c:pt>
                <c:pt idx="945">
                  <c:v>2016-08-01</c:v>
                </c:pt>
                <c:pt idx="946">
                  <c:v>2016-08-02</c:v>
                </c:pt>
                <c:pt idx="947">
                  <c:v>2016-08-03</c:v>
                </c:pt>
                <c:pt idx="948">
                  <c:v>2016-08-04</c:v>
                </c:pt>
                <c:pt idx="949">
                  <c:v>2016-08-05</c:v>
                </c:pt>
                <c:pt idx="950">
                  <c:v>2016-08-06</c:v>
                </c:pt>
                <c:pt idx="951">
                  <c:v>2016-08-07</c:v>
                </c:pt>
                <c:pt idx="952">
                  <c:v>2016-08-08</c:v>
                </c:pt>
                <c:pt idx="953">
                  <c:v>2016-08-09</c:v>
                </c:pt>
                <c:pt idx="954">
                  <c:v>2016-08-10</c:v>
                </c:pt>
                <c:pt idx="955">
                  <c:v>2016-08-11</c:v>
                </c:pt>
                <c:pt idx="956">
                  <c:v>2016-08-12</c:v>
                </c:pt>
                <c:pt idx="957">
                  <c:v>2016-08-13</c:v>
                </c:pt>
                <c:pt idx="958">
                  <c:v>2016-08-14</c:v>
                </c:pt>
                <c:pt idx="959">
                  <c:v>2016-08-15</c:v>
                </c:pt>
                <c:pt idx="960">
                  <c:v>2016-08-16</c:v>
                </c:pt>
                <c:pt idx="961">
                  <c:v>2016-08-17</c:v>
                </c:pt>
                <c:pt idx="962">
                  <c:v>2016-08-18</c:v>
                </c:pt>
                <c:pt idx="963">
                  <c:v>2016-08-19</c:v>
                </c:pt>
                <c:pt idx="964">
                  <c:v>2016-08-20</c:v>
                </c:pt>
                <c:pt idx="965">
                  <c:v>2016-08-21</c:v>
                </c:pt>
                <c:pt idx="966">
                  <c:v>2016-08-22</c:v>
                </c:pt>
                <c:pt idx="967">
                  <c:v>2016-08-23</c:v>
                </c:pt>
                <c:pt idx="968">
                  <c:v>2016-08-24</c:v>
                </c:pt>
                <c:pt idx="969">
                  <c:v>2016-08-25</c:v>
                </c:pt>
                <c:pt idx="970">
                  <c:v>2016-08-26</c:v>
                </c:pt>
                <c:pt idx="971">
                  <c:v>2016-08-27</c:v>
                </c:pt>
                <c:pt idx="972">
                  <c:v>2016-08-28</c:v>
                </c:pt>
                <c:pt idx="973">
                  <c:v>2016-08-29</c:v>
                </c:pt>
                <c:pt idx="974">
                  <c:v>2016-08-30</c:v>
                </c:pt>
                <c:pt idx="975">
                  <c:v>2016-08-31</c:v>
                </c:pt>
                <c:pt idx="976">
                  <c:v>2016-09-01</c:v>
                </c:pt>
                <c:pt idx="977">
                  <c:v>2016-09-02</c:v>
                </c:pt>
                <c:pt idx="978">
                  <c:v>2016-09-03</c:v>
                </c:pt>
                <c:pt idx="979">
                  <c:v>2016-09-04</c:v>
                </c:pt>
                <c:pt idx="980">
                  <c:v>2016-09-05</c:v>
                </c:pt>
                <c:pt idx="981">
                  <c:v>2016-09-06</c:v>
                </c:pt>
                <c:pt idx="982">
                  <c:v>2016-09-07</c:v>
                </c:pt>
                <c:pt idx="983">
                  <c:v>2016-09-08</c:v>
                </c:pt>
                <c:pt idx="984">
                  <c:v>2016-09-09</c:v>
                </c:pt>
                <c:pt idx="985">
                  <c:v>2016-09-10</c:v>
                </c:pt>
                <c:pt idx="986">
                  <c:v>2016-09-11</c:v>
                </c:pt>
                <c:pt idx="987">
                  <c:v>2016-09-12</c:v>
                </c:pt>
                <c:pt idx="988">
                  <c:v>2016-09-13</c:v>
                </c:pt>
                <c:pt idx="989">
                  <c:v>2016-09-14</c:v>
                </c:pt>
                <c:pt idx="990">
                  <c:v>2016-09-15</c:v>
                </c:pt>
                <c:pt idx="991">
                  <c:v>2016-09-16</c:v>
                </c:pt>
                <c:pt idx="992">
                  <c:v>2016-09-17</c:v>
                </c:pt>
                <c:pt idx="993">
                  <c:v>2016-09-18</c:v>
                </c:pt>
                <c:pt idx="994">
                  <c:v>2016-09-19</c:v>
                </c:pt>
                <c:pt idx="995">
                  <c:v>2016-09-20</c:v>
                </c:pt>
                <c:pt idx="996">
                  <c:v>2016-09-21</c:v>
                </c:pt>
                <c:pt idx="997">
                  <c:v>2016-09-22</c:v>
                </c:pt>
                <c:pt idx="998">
                  <c:v>2016-09-23</c:v>
                </c:pt>
                <c:pt idx="999">
                  <c:v>2016-09-24</c:v>
                </c:pt>
                <c:pt idx="1000">
                  <c:v>2016-09-25</c:v>
                </c:pt>
                <c:pt idx="1001">
                  <c:v>2016-09-26</c:v>
                </c:pt>
                <c:pt idx="1002">
                  <c:v>2016-09-27</c:v>
                </c:pt>
                <c:pt idx="1003">
                  <c:v>2016-09-28</c:v>
                </c:pt>
                <c:pt idx="1004">
                  <c:v>2016-09-29</c:v>
                </c:pt>
                <c:pt idx="1005">
                  <c:v>2016-09-30</c:v>
                </c:pt>
                <c:pt idx="1006">
                  <c:v>2016-10-01</c:v>
                </c:pt>
                <c:pt idx="1007">
                  <c:v>2016-10-02</c:v>
                </c:pt>
                <c:pt idx="1008">
                  <c:v>2016-10-03</c:v>
                </c:pt>
                <c:pt idx="1009">
                  <c:v>2016-10-04</c:v>
                </c:pt>
                <c:pt idx="1010">
                  <c:v>2016-10-05</c:v>
                </c:pt>
                <c:pt idx="1011">
                  <c:v>2016-10-06</c:v>
                </c:pt>
                <c:pt idx="1012">
                  <c:v>2016-10-07</c:v>
                </c:pt>
                <c:pt idx="1013">
                  <c:v>2016-10-08</c:v>
                </c:pt>
                <c:pt idx="1014">
                  <c:v>2016-10-09</c:v>
                </c:pt>
                <c:pt idx="1015">
                  <c:v>2016-10-10</c:v>
                </c:pt>
                <c:pt idx="1016">
                  <c:v>2016-10-11</c:v>
                </c:pt>
                <c:pt idx="1017">
                  <c:v>2016-10-12</c:v>
                </c:pt>
                <c:pt idx="1018">
                  <c:v>2016-10-13</c:v>
                </c:pt>
                <c:pt idx="1019">
                  <c:v>2016-10-14</c:v>
                </c:pt>
                <c:pt idx="1020">
                  <c:v>2016-10-15</c:v>
                </c:pt>
                <c:pt idx="1021">
                  <c:v>2016-10-16</c:v>
                </c:pt>
                <c:pt idx="1022">
                  <c:v>2016-10-17</c:v>
                </c:pt>
                <c:pt idx="1023">
                  <c:v>2016-10-18</c:v>
                </c:pt>
                <c:pt idx="1024">
                  <c:v>2016-10-19</c:v>
                </c:pt>
                <c:pt idx="1025">
                  <c:v>2016-10-20</c:v>
                </c:pt>
                <c:pt idx="1026">
                  <c:v>2016-10-21</c:v>
                </c:pt>
                <c:pt idx="1027">
                  <c:v>2016-10-22</c:v>
                </c:pt>
                <c:pt idx="1028">
                  <c:v>2016-10-23</c:v>
                </c:pt>
                <c:pt idx="1029">
                  <c:v>2016-10-24</c:v>
                </c:pt>
                <c:pt idx="1030">
                  <c:v>2016-10-25</c:v>
                </c:pt>
                <c:pt idx="1031">
                  <c:v>2016-10-26</c:v>
                </c:pt>
                <c:pt idx="1032">
                  <c:v>2016-10-27</c:v>
                </c:pt>
                <c:pt idx="1033">
                  <c:v>2016-10-28</c:v>
                </c:pt>
                <c:pt idx="1034">
                  <c:v>2016-10-29</c:v>
                </c:pt>
                <c:pt idx="1035">
                  <c:v>2016-10-30</c:v>
                </c:pt>
                <c:pt idx="1036">
                  <c:v>2016-10-31</c:v>
                </c:pt>
                <c:pt idx="1037">
                  <c:v>2016-11-01</c:v>
                </c:pt>
                <c:pt idx="1038">
                  <c:v>2016-11-02</c:v>
                </c:pt>
                <c:pt idx="1039">
                  <c:v>2016-11-03</c:v>
                </c:pt>
                <c:pt idx="1040">
                  <c:v>2016-11-04</c:v>
                </c:pt>
                <c:pt idx="1041">
                  <c:v>2016-11-05</c:v>
                </c:pt>
                <c:pt idx="1042">
                  <c:v>2016-11-06</c:v>
                </c:pt>
                <c:pt idx="1043">
                  <c:v>2016-11-07</c:v>
                </c:pt>
                <c:pt idx="1044">
                  <c:v>2016-11-08</c:v>
                </c:pt>
                <c:pt idx="1045">
                  <c:v>2016-11-09</c:v>
                </c:pt>
                <c:pt idx="1046">
                  <c:v>2016-11-10</c:v>
                </c:pt>
                <c:pt idx="1047">
                  <c:v>2016-11-11</c:v>
                </c:pt>
                <c:pt idx="1048">
                  <c:v>2016-11-12</c:v>
                </c:pt>
                <c:pt idx="1049">
                  <c:v>2016-11-13</c:v>
                </c:pt>
                <c:pt idx="1050">
                  <c:v>2016-11-14</c:v>
                </c:pt>
                <c:pt idx="1051">
                  <c:v>2016-11-15</c:v>
                </c:pt>
                <c:pt idx="1052">
                  <c:v>2016-11-16</c:v>
                </c:pt>
              </c:strCache>
            </c:strRef>
          </c:cat>
          <c:val>
            <c:numRef>
              <c:f>'Sales Master'!$E$2:$E$1054</c:f>
              <c:numCache>
                <c:formatCode>0.00</c:formatCode>
                <c:ptCount val="1053"/>
                <c:pt idx="0">
                  <c:v>32.8018116112095</c:v>
                </c:pt>
                <c:pt idx="1">
                  <c:v>32.4067203888634</c:v>
                </c:pt>
                <c:pt idx="2">
                  <c:v>32.4057011678184</c:v>
                </c:pt>
                <c:pt idx="3">
                  <c:v>32.4166990692594</c:v>
                </c:pt>
                <c:pt idx="4">
                  <c:v>32.418293750132</c:v>
                </c:pt>
                <c:pt idx="5">
                  <c:v>32.4228020509147</c:v>
                </c:pt>
                <c:pt idx="6">
                  <c:v>32.4382484590532</c:v>
                </c:pt>
                <c:pt idx="7">
                  <c:v>32.4250583042964</c:v>
                </c:pt>
                <c:pt idx="8">
                  <c:v>32.4150499158556</c:v>
                </c:pt>
                <c:pt idx="9">
                  <c:v>34.0589974034237</c:v>
                </c:pt>
                <c:pt idx="10">
                  <c:v>34.1260857699373</c:v>
                </c:pt>
                <c:pt idx="11">
                  <c:v>34.1097401610763</c:v>
                </c:pt>
                <c:pt idx="12">
                  <c:v>34.1101890512544</c:v>
                </c:pt>
                <c:pt idx="13">
                  <c:v>34.1281734543337</c:v>
                </c:pt>
                <c:pt idx="14">
                  <c:v>34.1000812677815</c:v>
                </c:pt>
                <c:pt idx="15">
                  <c:v>34.1102214991025</c:v>
                </c:pt>
                <c:pt idx="16">
                  <c:v>34.0838343641329</c:v>
                </c:pt>
                <c:pt idx="17">
                  <c:v>34.0846654813761</c:v>
                </c:pt>
                <c:pt idx="18">
                  <c:v>34.1382610141091</c:v>
                </c:pt>
                <c:pt idx="19">
                  <c:v>34.1283290884987</c:v>
                </c:pt>
                <c:pt idx="20">
                  <c:v>34.1439830809664</c:v>
                </c:pt>
                <c:pt idx="21">
                  <c:v>34.1205176263621</c:v>
                </c:pt>
                <c:pt idx="22">
                  <c:v>34.0871926786098</c:v>
                </c:pt>
                <c:pt idx="23">
                  <c:v>33.9238866080393</c:v>
                </c:pt>
                <c:pt idx="24">
                  <c:v>34.1761486906643</c:v>
                </c:pt>
                <c:pt idx="25">
                  <c:v>34.1685071130447</c:v>
                </c:pt>
                <c:pt idx="26">
                  <c:v>34.1709561631778</c:v>
                </c:pt>
                <c:pt idx="27">
                  <c:v>34.1653816610728</c:v>
                </c:pt>
                <c:pt idx="28">
                  <c:v>34.1773386312959</c:v>
                </c:pt>
                <c:pt idx="29">
                  <c:v>34.1571163701824</c:v>
                </c:pt>
                <c:pt idx="30">
                  <c:v>34.1734052134113</c:v>
                </c:pt>
                <c:pt idx="31">
                  <c:v>34.1651000598276</c:v>
                </c:pt>
                <c:pt idx="32">
                  <c:v>34.1672142680722</c:v>
                </c:pt>
                <c:pt idx="33">
                  <c:v>34.1646169836374</c:v>
                </c:pt>
                <c:pt idx="34">
                  <c:v>34.1667412787521</c:v>
                </c:pt>
                <c:pt idx="35">
                  <c:v>34.1666746256683</c:v>
                </c:pt>
                <c:pt idx="36">
                  <c:v>34.162943001544</c:v>
                </c:pt>
                <c:pt idx="37">
                  <c:v>32.4697898240354</c:v>
                </c:pt>
                <c:pt idx="38">
                  <c:v>33.7895342128481</c:v>
                </c:pt>
                <c:pt idx="39">
                  <c:v>32.4810256952916</c:v>
                </c:pt>
                <c:pt idx="40">
                  <c:v>32.461043190859</c:v>
                </c:pt>
                <c:pt idx="41">
                  <c:v>32.4713049614658</c:v>
                </c:pt>
                <c:pt idx="42">
                  <c:v>32.4533207790672</c:v>
                </c:pt>
                <c:pt idx="43">
                  <c:v>32.4781271439084</c:v>
                </c:pt>
                <c:pt idx="44">
                  <c:v>32.4464651985869</c:v>
                </c:pt>
                <c:pt idx="45">
                  <c:v>32.4704468940094</c:v>
                </c:pt>
                <c:pt idx="46">
                  <c:v>32.4536529910509</c:v>
                </c:pt>
                <c:pt idx="47">
                  <c:v>32.4505178445475</c:v>
                </c:pt>
                <c:pt idx="48">
                  <c:v>32.448229073756</c:v>
                </c:pt>
                <c:pt idx="49">
                  <c:v>32.4371578869998</c:v>
                </c:pt>
                <c:pt idx="50">
                  <c:v>34.1683652954972</c:v>
                </c:pt>
                <c:pt idx="51">
                  <c:v>32.4374251261274</c:v>
                </c:pt>
                <c:pt idx="52">
                  <c:v>34.1734001838952</c:v>
                </c:pt>
                <c:pt idx="53">
                  <c:v>32.4338214505748</c:v>
                </c:pt>
                <c:pt idx="54">
                  <c:v>31.6432537415602</c:v>
                </c:pt>
                <c:pt idx="55">
                  <c:v>32.4336182553775</c:v>
                </c:pt>
                <c:pt idx="56">
                  <c:v>32.4272338541734</c:v>
                </c:pt>
                <c:pt idx="57">
                  <c:v>32.4339997380557</c:v>
                </c:pt>
                <c:pt idx="58">
                  <c:v>32.4562433614122</c:v>
                </c:pt>
                <c:pt idx="59">
                  <c:v>31.0683705505441</c:v>
                </c:pt>
                <c:pt idx="60">
                  <c:v>31.8133381398534</c:v>
                </c:pt>
                <c:pt idx="61">
                  <c:v>32.0590075032489</c:v>
                </c:pt>
                <c:pt idx="62">
                  <c:v>31.9183087757813</c:v>
                </c:pt>
                <c:pt idx="63">
                  <c:v>31.9134803442634</c:v>
                </c:pt>
                <c:pt idx="64">
                  <c:v>31.7035571853657</c:v>
                </c:pt>
                <c:pt idx="65">
                  <c:v>31.7354279255443</c:v>
                </c:pt>
                <c:pt idx="66">
                  <c:v>33.0843177791983</c:v>
                </c:pt>
                <c:pt idx="67">
                  <c:v>31.9784222054543</c:v>
                </c:pt>
                <c:pt idx="68">
                  <c:v>31.9854107514199</c:v>
                </c:pt>
                <c:pt idx="69">
                  <c:v>32.0358216166826</c:v>
                </c:pt>
                <c:pt idx="70">
                  <c:v>32.0455305526576</c:v>
                </c:pt>
                <c:pt idx="71">
                  <c:v>32.6203622211232</c:v>
                </c:pt>
                <c:pt idx="72">
                  <c:v>32.4750786258233</c:v>
                </c:pt>
                <c:pt idx="73">
                  <c:v>32.5680315670099</c:v>
                </c:pt>
                <c:pt idx="74">
                  <c:v>32.5422326894191</c:v>
                </c:pt>
                <c:pt idx="75">
                  <c:v>32.4452576779735</c:v>
                </c:pt>
                <c:pt idx="76">
                  <c:v>32.5226686194419</c:v>
                </c:pt>
                <c:pt idx="77">
                  <c:v>32.5203992457135</c:v>
                </c:pt>
                <c:pt idx="78">
                  <c:v>35.0386936829592</c:v>
                </c:pt>
                <c:pt idx="79">
                  <c:v>35.0348058652164</c:v>
                </c:pt>
                <c:pt idx="80">
                  <c:v>35.0349247823733</c:v>
                </c:pt>
                <c:pt idx="81">
                  <c:v>35.0374354601472</c:v>
                </c:pt>
                <c:pt idx="82">
                  <c:v>35.0392878262642</c:v>
                </c:pt>
                <c:pt idx="83">
                  <c:v>35.0448325201504</c:v>
                </c:pt>
                <c:pt idx="84">
                  <c:v>35.0315172757947</c:v>
                </c:pt>
                <c:pt idx="85">
                  <c:v>34.0730022801096</c:v>
                </c:pt>
                <c:pt idx="86">
                  <c:v>34.1816793256558</c:v>
                </c:pt>
                <c:pt idx="87">
                  <c:v>33.7150267102879</c:v>
                </c:pt>
                <c:pt idx="88">
                  <c:v>33.9698363247582</c:v>
                </c:pt>
                <c:pt idx="89">
                  <c:v>33.9769221278428</c:v>
                </c:pt>
                <c:pt idx="90">
                  <c:v>34.2027740080785</c:v>
                </c:pt>
                <c:pt idx="91">
                  <c:v>34.1607763798316</c:v>
                </c:pt>
                <c:pt idx="92">
                  <c:v>34.1768281237546</c:v>
                </c:pt>
                <c:pt idx="93">
                  <c:v>34.0154106642247</c:v>
                </c:pt>
                <c:pt idx="94">
                  <c:v>34.0260140505572</c:v>
                </c:pt>
                <c:pt idx="95">
                  <c:v>34.2856940469174</c:v>
                </c:pt>
                <c:pt idx="96">
                  <c:v>34.3529276153673</c:v>
                </c:pt>
                <c:pt idx="97">
                  <c:v>34.577922826387</c:v>
                </c:pt>
                <c:pt idx="98">
                  <c:v>34.22682860704</c:v>
                </c:pt>
                <c:pt idx="99">
                  <c:v>35.0386881780374</c:v>
                </c:pt>
                <c:pt idx="100">
                  <c:v>35.034600852318</c:v>
                </c:pt>
                <c:pt idx="101">
                  <c:v>33.332061380687</c:v>
                </c:pt>
                <c:pt idx="102">
                  <c:v>33.3176451536781</c:v>
                </c:pt>
                <c:pt idx="103">
                  <c:v>33.3360986064612</c:v>
                </c:pt>
                <c:pt idx="104">
                  <c:v>33.3453989389325</c:v>
                </c:pt>
                <c:pt idx="105">
                  <c:v>33.3308653645145</c:v>
                </c:pt>
                <c:pt idx="106">
                  <c:v>33.3207305873671</c:v>
                </c:pt>
                <c:pt idx="107">
                  <c:v>33.3322084670729</c:v>
                </c:pt>
                <c:pt idx="108">
                  <c:v>33.3352937927278</c:v>
                </c:pt>
                <c:pt idx="109">
                  <c:v>33.3440113248599</c:v>
                </c:pt>
                <c:pt idx="110">
                  <c:v>33.3346532688679</c:v>
                </c:pt>
                <c:pt idx="111">
                  <c:v>33.3273774435025</c:v>
                </c:pt>
                <c:pt idx="112">
                  <c:v>33.3410882090877</c:v>
                </c:pt>
                <c:pt idx="113">
                  <c:v>33.3302550676356</c:v>
                </c:pt>
                <c:pt idx="114">
                  <c:v>35.0395426238449</c:v>
                </c:pt>
                <c:pt idx="115">
                  <c:v>35.0409804589856</c:v>
                </c:pt>
                <c:pt idx="116">
                  <c:v>34.6423037322107</c:v>
                </c:pt>
                <c:pt idx="117">
                  <c:v>34.7245681487548</c:v>
                </c:pt>
                <c:pt idx="118">
                  <c:v>34.7897540278561</c:v>
                </c:pt>
                <c:pt idx="119">
                  <c:v>34.7247786219684</c:v>
                </c:pt>
                <c:pt idx="120">
                  <c:v>34.6316185007208</c:v>
                </c:pt>
                <c:pt idx="121">
                  <c:v>35.2091990126605</c:v>
                </c:pt>
                <c:pt idx="122">
                  <c:v>35.1862351151499</c:v>
                </c:pt>
                <c:pt idx="123">
                  <c:v>35.7670892446368</c:v>
                </c:pt>
                <c:pt idx="124">
                  <c:v>35.5522835941144</c:v>
                </c:pt>
                <c:pt idx="125">
                  <c:v>35.2316593326619</c:v>
                </c:pt>
                <c:pt idx="126">
                  <c:v>35.1575818951211</c:v>
                </c:pt>
                <c:pt idx="127">
                  <c:v>35.9162380770027</c:v>
                </c:pt>
                <c:pt idx="128">
                  <c:v>34.2620804552998</c:v>
                </c:pt>
                <c:pt idx="129">
                  <c:v>35.9058699036107</c:v>
                </c:pt>
                <c:pt idx="130">
                  <c:v>32.5071074565025</c:v>
                </c:pt>
                <c:pt idx="131">
                  <c:v>32.4436877474357</c:v>
                </c:pt>
                <c:pt idx="132">
                  <c:v>32.4651347914372</c:v>
                </c:pt>
                <c:pt idx="133">
                  <c:v>32.4453756143174</c:v>
                </c:pt>
                <c:pt idx="134">
                  <c:v>32.4598270319303</c:v>
                </c:pt>
                <c:pt idx="135">
                  <c:v>32.163877761205</c:v>
                </c:pt>
                <c:pt idx="136">
                  <c:v>32.1269684613854</c:v>
                </c:pt>
                <c:pt idx="137">
                  <c:v>32.0731627112709</c:v>
                </c:pt>
                <c:pt idx="138">
                  <c:v>32.1586921301918</c:v>
                </c:pt>
                <c:pt idx="139">
                  <c:v>32.3736961932037</c:v>
                </c:pt>
                <c:pt idx="140">
                  <c:v>32.445250167006</c:v>
                </c:pt>
                <c:pt idx="141">
                  <c:v>32.0943301098261</c:v>
                </c:pt>
                <c:pt idx="142">
                  <c:v>32.1052393137778</c:v>
                </c:pt>
                <c:pt idx="143">
                  <c:v>33.754778397036</c:v>
                </c:pt>
                <c:pt idx="144">
                  <c:v>32.1668428376162</c:v>
                </c:pt>
                <c:pt idx="145">
                  <c:v>32.1770988047856</c:v>
                </c:pt>
                <c:pt idx="146">
                  <c:v>32.4253412234294</c:v>
                </c:pt>
                <c:pt idx="147">
                  <c:v>32.3147731814939</c:v>
                </c:pt>
                <c:pt idx="148">
                  <c:v>32.1988415106596</c:v>
                </c:pt>
                <c:pt idx="149">
                  <c:v>32.1573912185073</c:v>
                </c:pt>
                <c:pt idx="150">
                  <c:v>32.1695764652816</c:v>
                </c:pt>
                <c:pt idx="151">
                  <c:v>32.1768517839322</c:v>
                </c:pt>
                <c:pt idx="152">
                  <c:v>32.1570593622411</c:v>
                </c:pt>
                <c:pt idx="153">
                  <c:v>32.1410673169352</c:v>
                </c:pt>
                <c:pt idx="154">
                  <c:v>32.1247130389802</c:v>
                </c:pt>
                <c:pt idx="155">
                  <c:v>32.1058172701406</c:v>
                </c:pt>
                <c:pt idx="156">
                  <c:v>32.1659926777295</c:v>
                </c:pt>
                <c:pt idx="157">
                  <c:v>31.9885679866637</c:v>
                </c:pt>
                <c:pt idx="158">
                  <c:v>31.9953697331989</c:v>
                </c:pt>
                <c:pt idx="159">
                  <c:v>32.0676548854247</c:v>
                </c:pt>
                <c:pt idx="160">
                  <c:v>32.0974956284242</c:v>
                </c:pt>
                <c:pt idx="161">
                  <c:v>32.4168281281396</c:v>
                </c:pt>
                <c:pt idx="162">
                  <c:v>32.1554586256923</c:v>
                </c:pt>
                <c:pt idx="163">
                  <c:v>32.1099640477915</c:v>
                </c:pt>
                <c:pt idx="164">
                  <c:v>32.1360019762933</c:v>
                </c:pt>
                <c:pt idx="165">
                  <c:v>32.1358676841902</c:v>
                </c:pt>
                <c:pt idx="166">
                  <c:v>32.1075452124075</c:v>
                </c:pt>
                <c:pt idx="167">
                  <c:v>32.0743987090681</c:v>
                </c:pt>
                <c:pt idx="168">
                  <c:v>32.0674283024698</c:v>
                </c:pt>
                <c:pt idx="169">
                  <c:v>32.0698898393866</c:v>
                </c:pt>
                <c:pt idx="170">
                  <c:v>32.0340216309979</c:v>
                </c:pt>
                <c:pt idx="171">
                  <c:v>31.7875394515875</c:v>
                </c:pt>
                <c:pt idx="172">
                  <c:v>33.2023342008727</c:v>
                </c:pt>
                <c:pt idx="173">
                  <c:v>33.0052336576457</c:v>
                </c:pt>
                <c:pt idx="174">
                  <c:v>33.6100844251447</c:v>
                </c:pt>
                <c:pt idx="175">
                  <c:v>33.4619429578916</c:v>
                </c:pt>
                <c:pt idx="176">
                  <c:v>35.0455395051581</c:v>
                </c:pt>
                <c:pt idx="177">
                  <c:v>35.0265725747225</c:v>
                </c:pt>
                <c:pt idx="178">
                  <c:v>35.038132821822</c:v>
                </c:pt>
                <c:pt idx="179">
                  <c:v>35.0415637980285</c:v>
                </c:pt>
                <c:pt idx="180">
                  <c:v>35.0357326394902</c:v>
                </c:pt>
                <c:pt idx="181">
                  <c:v>35.0302400750457</c:v>
                </c:pt>
                <c:pt idx="182">
                  <c:v>35.037367885964</c:v>
                </c:pt>
                <c:pt idx="183">
                  <c:v>35.0346162465509</c:v>
                </c:pt>
                <c:pt idx="184">
                  <c:v>35.0370254969197</c:v>
                </c:pt>
                <c:pt idx="185">
                  <c:v>35.0395701855682</c:v>
                </c:pt>
                <c:pt idx="186">
                  <c:v>35.0437856034086</c:v>
                </c:pt>
                <c:pt idx="187">
                  <c:v>35.0409129375109</c:v>
                </c:pt>
                <c:pt idx="188">
                  <c:v>35.0414989870886</c:v>
                </c:pt>
                <c:pt idx="189">
                  <c:v>35.0373234811851</c:v>
                </c:pt>
                <c:pt idx="190">
                  <c:v>35.0411773863478</c:v>
                </c:pt>
                <c:pt idx="191">
                  <c:v>35.033236920129</c:v>
                </c:pt>
                <c:pt idx="192">
                  <c:v>35.0399460018299</c:v>
                </c:pt>
                <c:pt idx="193">
                  <c:v>35.037408957772</c:v>
                </c:pt>
                <c:pt idx="194">
                  <c:v>35.0431696092519</c:v>
                </c:pt>
                <c:pt idx="195">
                  <c:v>35.0283523607616</c:v>
                </c:pt>
                <c:pt idx="196">
                  <c:v>35.0462922132642</c:v>
                </c:pt>
                <c:pt idx="197">
                  <c:v>35.034381885067</c:v>
                </c:pt>
                <c:pt idx="198">
                  <c:v>32.4428365192582</c:v>
                </c:pt>
                <c:pt idx="199">
                  <c:v>35.0338358031735</c:v>
                </c:pt>
                <c:pt idx="200">
                  <c:v>35.033929043691</c:v>
                </c:pt>
                <c:pt idx="201">
                  <c:v>32.4327255214931</c:v>
                </c:pt>
                <c:pt idx="202">
                  <c:v>35.0404628045454</c:v>
                </c:pt>
                <c:pt idx="203">
                  <c:v>35.0456838089943</c:v>
                </c:pt>
                <c:pt idx="204">
                  <c:v>35.0269566202849</c:v>
                </c:pt>
                <c:pt idx="205">
                  <c:v>32.4602762366302</c:v>
                </c:pt>
                <c:pt idx="206">
                  <c:v>35.037833933203</c:v>
                </c:pt>
                <c:pt idx="207">
                  <c:v>32.4400072822655</c:v>
                </c:pt>
                <c:pt idx="208">
                  <c:v>32.4390455254478</c:v>
                </c:pt>
                <c:pt idx="209">
                  <c:v>32.4486323735802</c:v>
                </c:pt>
                <c:pt idx="210">
                  <c:v>32.4500716004457</c:v>
                </c:pt>
                <c:pt idx="211">
                  <c:v>32.4314283869811</c:v>
                </c:pt>
                <c:pt idx="212">
                  <c:v>32.4515457377148</c:v>
                </c:pt>
                <c:pt idx="213">
                  <c:v>32.4449195536085</c:v>
                </c:pt>
                <c:pt idx="214">
                  <c:v>32.4320068469259</c:v>
                </c:pt>
                <c:pt idx="215">
                  <c:v>32.4332036126886</c:v>
                </c:pt>
                <c:pt idx="216">
                  <c:v>32.4366814873807</c:v>
                </c:pt>
                <c:pt idx="217">
                  <c:v>32.4177737364316</c:v>
                </c:pt>
                <c:pt idx="218">
                  <c:v>32.4248660206051</c:v>
                </c:pt>
                <c:pt idx="219">
                  <c:v>35.0403402087674</c:v>
                </c:pt>
                <c:pt idx="220">
                  <c:v>35.0433059767051</c:v>
                </c:pt>
                <c:pt idx="221">
                  <c:v>32.4487831979821</c:v>
                </c:pt>
                <c:pt idx="222">
                  <c:v>32.460784130276</c:v>
                </c:pt>
                <c:pt idx="223">
                  <c:v>32.4712819992445</c:v>
                </c:pt>
                <c:pt idx="224">
                  <c:v>32.4598146366709</c:v>
                </c:pt>
                <c:pt idx="225">
                  <c:v>32.4620810410003</c:v>
                </c:pt>
                <c:pt idx="226">
                  <c:v>32.4520877463626</c:v>
                </c:pt>
                <c:pt idx="227">
                  <c:v>32.4355215323335</c:v>
                </c:pt>
                <c:pt idx="228">
                  <c:v>32.4481992494518</c:v>
                </c:pt>
                <c:pt idx="229">
                  <c:v>32.458401783503</c:v>
                </c:pt>
                <c:pt idx="230">
                  <c:v>32.4544687049671</c:v>
                </c:pt>
                <c:pt idx="231">
                  <c:v>32.4547587172372</c:v>
                </c:pt>
                <c:pt idx="232">
                  <c:v>32.4574053246367</c:v>
                </c:pt>
                <c:pt idx="233">
                  <c:v>33.3114603479985</c:v>
                </c:pt>
                <c:pt idx="234">
                  <c:v>33.3214408710623</c:v>
                </c:pt>
                <c:pt idx="235">
                  <c:v>33.3167243526835</c:v>
                </c:pt>
                <c:pt idx="236">
                  <c:v>33.3235491058784</c:v>
                </c:pt>
                <c:pt idx="237">
                  <c:v>33.3736614029815</c:v>
                </c:pt>
                <c:pt idx="238">
                  <c:v>33.3302499022891</c:v>
                </c:pt>
                <c:pt idx="239">
                  <c:v>31.8709149941534</c:v>
                </c:pt>
                <c:pt idx="240">
                  <c:v>30.8353634845853</c:v>
                </c:pt>
                <c:pt idx="241">
                  <c:v>30.7221630232125</c:v>
                </c:pt>
                <c:pt idx="242">
                  <c:v>30.7504898899266</c:v>
                </c:pt>
                <c:pt idx="243">
                  <c:v>30.7634797433873</c:v>
                </c:pt>
                <c:pt idx="244">
                  <c:v>30.7548511359108</c:v>
                </c:pt>
                <c:pt idx="245">
                  <c:v>30.7215550400929</c:v>
                </c:pt>
                <c:pt idx="246">
                  <c:v>30.7023700886226</c:v>
                </c:pt>
                <c:pt idx="247">
                  <c:v>30.7329668437227</c:v>
                </c:pt>
                <c:pt idx="248">
                  <c:v>30.7272681996449</c:v>
                </c:pt>
                <c:pt idx="249">
                  <c:v>30.7344574153575</c:v>
                </c:pt>
                <c:pt idx="250">
                  <c:v>30.7313819159384</c:v>
                </c:pt>
                <c:pt idx="251">
                  <c:v>30.7288401851333</c:v>
                </c:pt>
                <c:pt idx="252">
                  <c:v>30.7214749597017</c:v>
                </c:pt>
                <c:pt idx="253">
                  <c:v>35.0412889746814</c:v>
                </c:pt>
                <c:pt idx="254">
                  <c:v>35.0406777212822</c:v>
                </c:pt>
                <c:pt idx="255">
                  <c:v>35.0346567813846</c:v>
                </c:pt>
                <c:pt idx="256">
                  <c:v>35.0387532783769</c:v>
                </c:pt>
                <c:pt idx="257">
                  <c:v>35.0387326631165</c:v>
                </c:pt>
                <c:pt idx="258">
                  <c:v>35.0367648297329</c:v>
                </c:pt>
                <c:pt idx="259">
                  <c:v>35.0338527690472</c:v>
                </c:pt>
                <c:pt idx="260">
                  <c:v>35.0333459764973</c:v>
                </c:pt>
                <c:pt idx="261">
                  <c:v>35.0441970237154</c:v>
                </c:pt>
                <c:pt idx="262">
                  <c:v>35.0279743268269</c:v>
                </c:pt>
                <c:pt idx="263">
                  <c:v>35.0331938921561</c:v>
                </c:pt>
                <c:pt idx="264">
                  <c:v>35.0374314123226</c:v>
                </c:pt>
                <c:pt idx="265">
                  <c:v>35.0316445524253</c:v>
                </c:pt>
                <c:pt idx="266">
                  <c:v>35.0370099585999</c:v>
                </c:pt>
                <c:pt idx="267">
                  <c:v>35.0360026698918</c:v>
                </c:pt>
                <c:pt idx="268">
                  <c:v>32.5086546556667</c:v>
                </c:pt>
                <c:pt idx="269">
                  <c:v>32.4636002327016</c:v>
                </c:pt>
                <c:pt idx="270">
                  <c:v>32.4608558442759</c:v>
                </c:pt>
                <c:pt idx="271">
                  <c:v>32.4456587019204</c:v>
                </c:pt>
                <c:pt idx="272">
                  <c:v>32.4511943644107</c:v>
                </c:pt>
                <c:pt idx="273">
                  <c:v>32.443489673267</c:v>
                </c:pt>
                <c:pt idx="274">
                  <c:v>32.4415532211695</c:v>
                </c:pt>
                <c:pt idx="275">
                  <c:v>32.4298025521168</c:v>
                </c:pt>
                <c:pt idx="276">
                  <c:v>32.4420921908873</c:v>
                </c:pt>
                <c:pt idx="277">
                  <c:v>32.446736435936</c:v>
                </c:pt>
                <c:pt idx="278">
                  <c:v>32.4504686954787</c:v>
                </c:pt>
                <c:pt idx="279">
                  <c:v>32.4475863418796</c:v>
                </c:pt>
                <c:pt idx="280">
                  <c:v>32.4421813158264</c:v>
                </c:pt>
                <c:pt idx="281">
                  <c:v>36.7238911439213</c:v>
                </c:pt>
                <c:pt idx="282">
                  <c:v>36.666215700229</c:v>
                </c:pt>
                <c:pt idx="283">
                  <c:v>36.767999660937</c:v>
                </c:pt>
                <c:pt idx="284">
                  <c:v>36.7698695112909</c:v>
                </c:pt>
                <c:pt idx="285">
                  <c:v>36.7318360172685</c:v>
                </c:pt>
                <c:pt idx="286">
                  <c:v>36.7474787657859</c:v>
                </c:pt>
                <c:pt idx="287">
                  <c:v>36.7795590906956</c:v>
                </c:pt>
                <c:pt idx="288">
                  <c:v>36.7320493488388</c:v>
                </c:pt>
                <c:pt idx="289">
                  <c:v>36.7746210104966</c:v>
                </c:pt>
                <c:pt idx="290">
                  <c:v>36.7540615515559</c:v>
                </c:pt>
                <c:pt idx="291">
                  <c:v>36.7621807723969</c:v>
                </c:pt>
                <c:pt idx="292">
                  <c:v>36.7596869193938</c:v>
                </c:pt>
                <c:pt idx="293">
                  <c:v>36.747315994936</c:v>
                </c:pt>
                <c:pt idx="294">
                  <c:v>36.6837053747176</c:v>
                </c:pt>
                <c:pt idx="295">
                  <c:v>36.7302633281499</c:v>
                </c:pt>
                <c:pt idx="296">
                  <c:v>36.6810807463983</c:v>
                </c:pt>
                <c:pt idx="297">
                  <c:v>36.7695755260551</c:v>
                </c:pt>
                <c:pt idx="298">
                  <c:v>36.7165097747819</c:v>
                </c:pt>
                <c:pt idx="299">
                  <c:v>36.6979856104255</c:v>
                </c:pt>
                <c:pt idx="300">
                  <c:v>36.6992369514432</c:v>
                </c:pt>
                <c:pt idx="301">
                  <c:v>36.7650717488187</c:v>
                </c:pt>
                <c:pt idx="302">
                  <c:v>36.7669637091835</c:v>
                </c:pt>
                <c:pt idx="303">
                  <c:v>36.7347145346824</c:v>
                </c:pt>
                <c:pt idx="304">
                  <c:v>36.7252324091625</c:v>
                </c:pt>
                <c:pt idx="305">
                  <c:v>36.731848097691</c:v>
                </c:pt>
                <c:pt idx="306">
                  <c:v>36.7686630290116</c:v>
                </c:pt>
                <c:pt idx="307">
                  <c:v>36.7697328403108</c:v>
                </c:pt>
                <c:pt idx="308">
                  <c:v>36.7978718212509</c:v>
                </c:pt>
                <c:pt idx="309">
                  <c:v>39.3984445597655</c:v>
                </c:pt>
                <c:pt idx="310">
                  <c:v>39.3919128857989</c:v>
                </c:pt>
                <c:pt idx="311">
                  <c:v>37.6212464619295</c:v>
                </c:pt>
                <c:pt idx="312">
                  <c:v>37.6592702477714</c:v>
                </c:pt>
                <c:pt idx="313">
                  <c:v>37.6586932481207</c:v>
                </c:pt>
                <c:pt idx="314">
                  <c:v>37.6603804758361</c:v>
                </c:pt>
                <c:pt idx="315">
                  <c:v>37.7496485697101</c:v>
                </c:pt>
                <c:pt idx="316">
                  <c:v>37.610799315017</c:v>
                </c:pt>
                <c:pt idx="317">
                  <c:v>37.6231475376868</c:v>
                </c:pt>
                <c:pt idx="318">
                  <c:v>37.5396469331381</c:v>
                </c:pt>
                <c:pt idx="319">
                  <c:v>37.6024512913469</c:v>
                </c:pt>
                <c:pt idx="320">
                  <c:v>37.6271367617472</c:v>
                </c:pt>
                <c:pt idx="321">
                  <c:v>37.6159825310959</c:v>
                </c:pt>
                <c:pt idx="322">
                  <c:v>37.576549448485</c:v>
                </c:pt>
                <c:pt idx="323">
                  <c:v>37.6166959471894</c:v>
                </c:pt>
                <c:pt idx="324">
                  <c:v>37.590320186166</c:v>
                </c:pt>
                <c:pt idx="325">
                  <c:v>37.5024844732331</c:v>
                </c:pt>
                <c:pt idx="326">
                  <c:v>42.1342093989227</c:v>
                </c:pt>
                <c:pt idx="327">
                  <c:v>42.3333177660516</c:v>
                </c:pt>
                <c:pt idx="328">
                  <c:v>42.3608568910718</c:v>
                </c:pt>
                <c:pt idx="329">
                  <c:v>41.9193820178939</c:v>
                </c:pt>
                <c:pt idx="330">
                  <c:v>41.8704982362397</c:v>
                </c:pt>
                <c:pt idx="331">
                  <c:v>42.8369976516924</c:v>
                </c:pt>
                <c:pt idx="332">
                  <c:v>42.9280213258522</c:v>
                </c:pt>
                <c:pt idx="333">
                  <c:v>42.7173406228193</c:v>
                </c:pt>
                <c:pt idx="334">
                  <c:v>42.7087164167121</c:v>
                </c:pt>
                <c:pt idx="335">
                  <c:v>42.5422432967545</c:v>
                </c:pt>
                <c:pt idx="336">
                  <c:v>42.1752277883275</c:v>
                </c:pt>
                <c:pt idx="337">
                  <c:v>40.6541592111198</c:v>
                </c:pt>
                <c:pt idx="338">
                  <c:v>40.1291307675002</c:v>
                </c:pt>
                <c:pt idx="339">
                  <c:v>40.2022088396347</c:v>
                </c:pt>
                <c:pt idx="340">
                  <c:v>40.6918399215389</c:v>
                </c:pt>
                <c:pt idx="341">
                  <c:v>39.9389420248807</c:v>
                </c:pt>
                <c:pt idx="342">
                  <c:v>38.5971150867806</c:v>
                </c:pt>
                <c:pt idx="343">
                  <c:v>40.558744588238</c:v>
                </c:pt>
                <c:pt idx="344">
                  <c:v>40.5295237497531</c:v>
                </c:pt>
                <c:pt idx="345">
                  <c:v>39.5225419867336</c:v>
                </c:pt>
                <c:pt idx="346">
                  <c:v>38.1533213779177</c:v>
                </c:pt>
                <c:pt idx="347">
                  <c:v>38.4477332905979</c:v>
                </c:pt>
                <c:pt idx="348">
                  <c:v>38.2588553429561</c:v>
                </c:pt>
                <c:pt idx="349">
                  <c:v>38.3204032222817</c:v>
                </c:pt>
                <c:pt idx="350">
                  <c:v>38.447981021426</c:v>
                </c:pt>
                <c:pt idx="351">
                  <c:v>38.5417654896736</c:v>
                </c:pt>
                <c:pt idx="352">
                  <c:v>38.5280720207397</c:v>
                </c:pt>
                <c:pt idx="353">
                  <c:v>38.2676140128349</c:v>
                </c:pt>
                <c:pt idx="354">
                  <c:v>38.4181003144145</c:v>
                </c:pt>
                <c:pt idx="355">
                  <c:v>38.2398493781535</c:v>
                </c:pt>
                <c:pt idx="356">
                  <c:v>38.2808632742599</c:v>
                </c:pt>
                <c:pt idx="357">
                  <c:v>40.7987797836881</c:v>
                </c:pt>
                <c:pt idx="358">
                  <c:v>40.6781603056453</c:v>
                </c:pt>
                <c:pt idx="359">
                  <c:v>41.1745550168201</c:v>
                </c:pt>
                <c:pt idx="360">
                  <c:v>41.1742021831956</c:v>
                </c:pt>
                <c:pt idx="361">
                  <c:v>41.1488130102911</c:v>
                </c:pt>
                <c:pt idx="362">
                  <c:v>41.1667159874993</c:v>
                </c:pt>
                <c:pt idx="363">
                  <c:v>41.1755140688255</c:v>
                </c:pt>
                <c:pt idx="364">
                  <c:v>41.182381514621</c:v>
                </c:pt>
                <c:pt idx="365">
                  <c:v>38.5927419776806</c:v>
                </c:pt>
                <c:pt idx="366">
                  <c:v>38.5730464933138</c:v>
                </c:pt>
                <c:pt idx="367">
                  <c:v>38.6097830006034</c:v>
                </c:pt>
                <c:pt idx="368">
                  <c:v>38.6019452755678</c:v>
                </c:pt>
                <c:pt idx="369">
                  <c:v>38.5831562254158</c:v>
                </c:pt>
                <c:pt idx="370">
                  <c:v>38.5801929060443</c:v>
                </c:pt>
                <c:pt idx="371">
                  <c:v>38.5593198328258</c:v>
                </c:pt>
                <c:pt idx="372">
                  <c:v>38.5832494522166</c:v>
                </c:pt>
                <c:pt idx="373">
                  <c:v>41.1764759373268</c:v>
                </c:pt>
                <c:pt idx="374">
                  <c:v>41.1642287733969</c:v>
                </c:pt>
                <c:pt idx="375">
                  <c:v>41.1766582302985</c:v>
                </c:pt>
                <c:pt idx="376">
                  <c:v>41.1750423170849</c:v>
                </c:pt>
                <c:pt idx="377">
                  <c:v>41.1818741712014</c:v>
                </c:pt>
                <c:pt idx="378">
                  <c:v>41.1750701706803</c:v>
                </c:pt>
                <c:pt idx="379">
                  <c:v>41.1808739733378</c:v>
                </c:pt>
                <c:pt idx="380">
                  <c:v>41.1849142676489</c:v>
                </c:pt>
                <c:pt idx="381">
                  <c:v>41.1664533876785</c:v>
                </c:pt>
                <c:pt idx="382">
                  <c:v>41.1805061414864</c:v>
                </c:pt>
                <c:pt idx="383">
                  <c:v>41.1737644632944</c:v>
                </c:pt>
                <c:pt idx="384">
                  <c:v>41.1814232227331</c:v>
                </c:pt>
                <c:pt idx="385">
                  <c:v>41.1805214259889</c:v>
                </c:pt>
                <c:pt idx="386">
                  <c:v>41.1728993270114</c:v>
                </c:pt>
                <c:pt idx="387">
                  <c:v>41.1776912432265</c:v>
                </c:pt>
                <c:pt idx="388">
                  <c:v>41.182543209827</c:v>
                </c:pt>
                <c:pt idx="389">
                  <c:v>41.1687225714011</c:v>
                </c:pt>
                <c:pt idx="390">
                  <c:v>41.1730494488623</c:v>
                </c:pt>
                <c:pt idx="391">
                  <c:v>41.1661976394468</c:v>
                </c:pt>
                <c:pt idx="392">
                  <c:v>41.179552486</c:v>
                </c:pt>
                <c:pt idx="393">
                  <c:v>41.1726928787222</c:v>
                </c:pt>
                <c:pt idx="394">
                  <c:v>41.1668150377597</c:v>
                </c:pt>
                <c:pt idx="395">
                  <c:v>41.1711164097129</c:v>
                </c:pt>
                <c:pt idx="396">
                  <c:v>41.1689762747056</c:v>
                </c:pt>
                <c:pt idx="397">
                  <c:v>41.1751567254545</c:v>
                </c:pt>
                <c:pt idx="398">
                  <c:v>41.1692510275301</c:v>
                </c:pt>
                <c:pt idx="399">
                  <c:v>41.176992898905</c:v>
                </c:pt>
                <c:pt idx="400">
                  <c:v>41.174846069213</c:v>
                </c:pt>
                <c:pt idx="401">
                  <c:v>41.1541671421598</c:v>
                </c:pt>
                <c:pt idx="402">
                  <c:v>41.1865708182445</c:v>
                </c:pt>
                <c:pt idx="403">
                  <c:v>41.1769523585303</c:v>
                </c:pt>
                <c:pt idx="404">
                  <c:v>41.1652908241772</c:v>
                </c:pt>
                <c:pt idx="405">
                  <c:v>41.1734277740815</c:v>
                </c:pt>
                <c:pt idx="406">
                  <c:v>41.1726438587463</c:v>
                </c:pt>
                <c:pt idx="407">
                  <c:v>37.7121065844808</c:v>
                </c:pt>
                <c:pt idx="408">
                  <c:v>37.7208893971445</c:v>
                </c:pt>
                <c:pt idx="409">
                  <c:v>37.7028107795117</c:v>
                </c:pt>
                <c:pt idx="410">
                  <c:v>37.7272412950194</c:v>
                </c:pt>
                <c:pt idx="411">
                  <c:v>37.7333703405768</c:v>
                </c:pt>
                <c:pt idx="412">
                  <c:v>37.710224265284</c:v>
                </c:pt>
                <c:pt idx="413">
                  <c:v>37.71915999535</c:v>
                </c:pt>
                <c:pt idx="414">
                  <c:v>37.6881058379599</c:v>
                </c:pt>
                <c:pt idx="415">
                  <c:v>37.7200825163663</c:v>
                </c:pt>
                <c:pt idx="416">
                  <c:v>37.713233652988</c:v>
                </c:pt>
                <c:pt idx="417">
                  <c:v>37.7183731269502</c:v>
                </c:pt>
                <c:pt idx="418">
                  <c:v>37.7051751565627</c:v>
                </c:pt>
                <c:pt idx="419">
                  <c:v>37.708616525395</c:v>
                </c:pt>
                <c:pt idx="420">
                  <c:v>40.3271228327345</c:v>
                </c:pt>
                <c:pt idx="421">
                  <c:v>37.7369001458892</c:v>
                </c:pt>
                <c:pt idx="422">
                  <c:v>37.7749148157209</c:v>
                </c:pt>
                <c:pt idx="423">
                  <c:v>37.7107969309386</c:v>
                </c:pt>
                <c:pt idx="424">
                  <c:v>37.7072921966941</c:v>
                </c:pt>
                <c:pt idx="425">
                  <c:v>37.7472852313113</c:v>
                </c:pt>
                <c:pt idx="426">
                  <c:v>37.7335797050332</c:v>
                </c:pt>
                <c:pt idx="427">
                  <c:v>37.7279525444628</c:v>
                </c:pt>
                <c:pt idx="428">
                  <c:v>37.7220640519708</c:v>
                </c:pt>
                <c:pt idx="429">
                  <c:v>37.7336612841879</c:v>
                </c:pt>
                <c:pt idx="430">
                  <c:v>37.8371783159215</c:v>
                </c:pt>
                <c:pt idx="431">
                  <c:v>37.7721454241959</c:v>
                </c:pt>
                <c:pt idx="432">
                  <c:v>37.7654991511372</c:v>
                </c:pt>
                <c:pt idx="433">
                  <c:v>41.1688454559629</c:v>
                </c:pt>
                <c:pt idx="434">
                  <c:v>41.169097548127</c:v>
                </c:pt>
                <c:pt idx="435">
                  <c:v>41.1724632223718</c:v>
                </c:pt>
                <c:pt idx="436">
                  <c:v>41.1717057173668</c:v>
                </c:pt>
                <c:pt idx="437">
                  <c:v>41.1736559533965</c:v>
                </c:pt>
                <c:pt idx="438">
                  <c:v>41.1660845122005</c:v>
                </c:pt>
                <c:pt idx="439">
                  <c:v>41.1789849332335</c:v>
                </c:pt>
                <c:pt idx="440">
                  <c:v>41.172578144476</c:v>
                </c:pt>
                <c:pt idx="441">
                  <c:v>41.1614544403219</c:v>
                </c:pt>
                <c:pt idx="442">
                  <c:v>41.1948269092198</c:v>
                </c:pt>
                <c:pt idx="443">
                  <c:v>41.1582002241458</c:v>
                </c:pt>
                <c:pt idx="444">
                  <c:v>41.155407254905</c:v>
                </c:pt>
                <c:pt idx="445">
                  <c:v>41.1734033551166</c:v>
                </c:pt>
                <c:pt idx="446">
                  <c:v>41.1811622467716</c:v>
                </c:pt>
                <c:pt idx="447">
                  <c:v>41.1773470922327</c:v>
                </c:pt>
                <c:pt idx="448">
                  <c:v>41.1650560546207</c:v>
                </c:pt>
                <c:pt idx="449">
                  <c:v>37.759875577215</c:v>
                </c:pt>
                <c:pt idx="450">
                  <c:v>37.7713053761909</c:v>
                </c:pt>
                <c:pt idx="451">
                  <c:v>37.7134230509243</c:v>
                </c:pt>
                <c:pt idx="452">
                  <c:v>37.7361337045142</c:v>
                </c:pt>
                <c:pt idx="453">
                  <c:v>37.7214240731866</c:v>
                </c:pt>
                <c:pt idx="454">
                  <c:v>37.746823053868</c:v>
                </c:pt>
                <c:pt idx="455">
                  <c:v>37.7153099863929</c:v>
                </c:pt>
                <c:pt idx="456">
                  <c:v>37.7385534488979</c:v>
                </c:pt>
                <c:pt idx="457">
                  <c:v>37.7749938616004</c:v>
                </c:pt>
                <c:pt idx="458">
                  <c:v>37.7604663007099</c:v>
                </c:pt>
                <c:pt idx="459">
                  <c:v>37.7908031996689</c:v>
                </c:pt>
                <c:pt idx="460">
                  <c:v>37.7643433483407</c:v>
                </c:pt>
                <c:pt idx="461">
                  <c:v>37.7549995669836</c:v>
                </c:pt>
                <c:pt idx="462">
                  <c:v>37.730822003445</c:v>
                </c:pt>
                <c:pt idx="463">
                  <c:v>40.6656399653795</c:v>
                </c:pt>
                <c:pt idx="464">
                  <c:v>41.1740806059563</c:v>
                </c:pt>
                <c:pt idx="465">
                  <c:v>41.1745715156838</c:v>
                </c:pt>
                <c:pt idx="466">
                  <c:v>41.1794502172303</c:v>
                </c:pt>
                <c:pt idx="467">
                  <c:v>41.1809247855358</c:v>
                </c:pt>
                <c:pt idx="468">
                  <c:v>41.1833657676528</c:v>
                </c:pt>
                <c:pt idx="469">
                  <c:v>41.1775296818179</c:v>
                </c:pt>
                <c:pt idx="470">
                  <c:v>41.6506915849543</c:v>
                </c:pt>
                <c:pt idx="471">
                  <c:v>41.6870228369459</c:v>
                </c:pt>
                <c:pt idx="472">
                  <c:v>41.7363117223875</c:v>
                </c:pt>
                <c:pt idx="473">
                  <c:v>41.815661602466</c:v>
                </c:pt>
                <c:pt idx="474">
                  <c:v>41.8799566887062</c:v>
                </c:pt>
                <c:pt idx="475">
                  <c:v>41.9416240996526</c:v>
                </c:pt>
                <c:pt idx="476">
                  <c:v>41.9292356348426</c:v>
                </c:pt>
                <c:pt idx="477">
                  <c:v>42.0357320436142</c:v>
                </c:pt>
                <c:pt idx="478">
                  <c:v>38.5977717408837</c:v>
                </c:pt>
                <c:pt idx="479">
                  <c:v>42.0574190712134</c:v>
                </c:pt>
                <c:pt idx="480">
                  <c:v>38.6400144487988</c:v>
                </c:pt>
                <c:pt idx="481">
                  <c:v>37.8029758843353</c:v>
                </c:pt>
                <c:pt idx="482">
                  <c:v>38.6889032364667</c:v>
                </c:pt>
                <c:pt idx="483">
                  <c:v>38.6972600357431</c:v>
                </c:pt>
                <c:pt idx="484">
                  <c:v>38.6062761713598</c:v>
                </c:pt>
                <c:pt idx="485">
                  <c:v>38.6379416742936</c:v>
                </c:pt>
                <c:pt idx="486">
                  <c:v>38.6023304652221</c:v>
                </c:pt>
                <c:pt idx="487">
                  <c:v>38.6259113177731</c:v>
                </c:pt>
                <c:pt idx="488">
                  <c:v>37.7889010297956</c:v>
                </c:pt>
                <c:pt idx="489">
                  <c:v>38.6165166971454</c:v>
                </c:pt>
                <c:pt idx="490">
                  <c:v>38.670683858697</c:v>
                </c:pt>
                <c:pt idx="491">
                  <c:v>38.7535128656033</c:v>
                </c:pt>
                <c:pt idx="492">
                  <c:v>37.7570389444798</c:v>
                </c:pt>
                <c:pt idx="493">
                  <c:v>41.1509732197697</c:v>
                </c:pt>
                <c:pt idx="494">
                  <c:v>37.7902606096091</c:v>
                </c:pt>
                <c:pt idx="495">
                  <c:v>37.7550701670743</c:v>
                </c:pt>
                <c:pt idx="496">
                  <c:v>37.7632653658889</c:v>
                </c:pt>
                <c:pt idx="497">
                  <c:v>37.7483189373841</c:v>
                </c:pt>
                <c:pt idx="498">
                  <c:v>37.7456331677829</c:v>
                </c:pt>
                <c:pt idx="499">
                  <c:v>37.7331353732025</c:v>
                </c:pt>
                <c:pt idx="500">
                  <c:v>37.7476218322455</c:v>
                </c:pt>
                <c:pt idx="501">
                  <c:v>37.7422230844335</c:v>
                </c:pt>
                <c:pt idx="502">
                  <c:v>37.7325956705893</c:v>
                </c:pt>
                <c:pt idx="503">
                  <c:v>37.7336896838379</c:v>
                </c:pt>
                <c:pt idx="504">
                  <c:v>37.7369382395481</c:v>
                </c:pt>
                <c:pt idx="505">
                  <c:v>37.9166773402433</c:v>
                </c:pt>
                <c:pt idx="506">
                  <c:v>37.8189084687285</c:v>
                </c:pt>
                <c:pt idx="507">
                  <c:v>42.0498894496219</c:v>
                </c:pt>
                <c:pt idx="508">
                  <c:v>37.7458386449403</c:v>
                </c:pt>
                <c:pt idx="509">
                  <c:v>37.7357075207219</c:v>
                </c:pt>
                <c:pt idx="510">
                  <c:v>37.7681590437429</c:v>
                </c:pt>
                <c:pt idx="511">
                  <c:v>37.7387063923582</c:v>
                </c:pt>
                <c:pt idx="512">
                  <c:v>37.7410396393848</c:v>
                </c:pt>
                <c:pt idx="513">
                  <c:v>37.7427900726104</c:v>
                </c:pt>
                <c:pt idx="514">
                  <c:v>37.7376105580324</c:v>
                </c:pt>
                <c:pt idx="515">
                  <c:v>37.7517192060245</c:v>
                </c:pt>
                <c:pt idx="516">
                  <c:v>37.7295656245319</c:v>
                </c:pt>
                <c:pt idx="517">
                  <c:v>37.7567934483822</c:v>
                </c:pt>
                <c:pt idx="518">
                  <c:v>37.7229636127627</c:v>
                </c:pt>
                <c:pt idx="519">
                  <c:v>37.7207376546488</c:v>
                </c:pt>
                <c:pt idx="520">
                  <c:v>37.7498361257419</c:v>
                </c:pt>
                <c:pt idx="521">
                  <c:v>37.7668962222738</c:v>
                </c:pt>
                <c:pt idx="522">
                  <c:v>37.7441908602169</c:v>
                </c:pt>
                <c:pt idx="523">
                  <c:v>37.7539718876788</c:v>
                </c:pt>
                <c:pt idx="524">
                  <c:v>37.7475651877238</c:v>
                </c:pt>
                <c:pt idx="525">
                  <c:v>42.0247017511359</c:v>
                </c:pt>
                <c:pt idx="526">
                  <c:v>42.052961941885</c:v>
                </c:pt>
                <c:pt idx="527">
                  <c:v>42.0304536021485</c:v>
                </c:pt>
                <c:pt idx="528">
                  <c:v>42.0148274484317</c:v>
                </c:pt>
                <c:pt idx="529">
                  <c:v>42.0479347501371</c:v>
                </c:pt>
                <c:pt idx="530">
                  <c:v>42.0321351376054</c:v>
                </c:pt>
                <c:pt idx="531">
                  <c:v>42.0580040214904</c:v>
                </c:pt>
                <c:pt idx="532">
                  <c:v>42.0302430505364</c:v>
                </c:pt>
                <c:pt idx="533">
                  <c:v>41.9529422933628</c:v>
                </c:pt>
                <c:pt idx="534">
                  <c:v>42.0154270505091</c:v>
                </c:pt>
                <c:pt idx="535">
                  <c:v>41.9981844573437</c:v>
                </c:pt>
                <c:pt idx="536">
                  <c:v>42.0359545111214</c:v>
                </c:pt>
                <c:pt idx="537">
                  <c:v>42.042284152847</c:v>
                </c:pt>
                <c:pt idx="538">
                  <c:v>42.0640238891299</c:v>
                </c:pt>
                <c:pt idx="539">
                  <c:v>42.025452267419</c:v>
                </c:pt>
                <c:pt idx="540">
                  <c:v>42.0158228175289</c:v>
                </c:pt>
                <c:pt idx="541">
                  <c:v>37.7793879643795</c:v>
                </c:pt>
                <c:pt idx="542">
                  <c:v>37.789068303236</c:v>
                </c:pt>
                <c:pt idx="543">
                  <c:v>37.8200939756634</c:v>
                </c:pt>
                <c:pt idx="544">
                  <c:v>37.7938340539048</c:v>
                </c:pt>
                <c:pt idx="545">
                  <c:v>37.7795057176903</c:v>
                </c:pt>
                <c:pt idx="546">
                  <c:v>37.7554758914146</c:v>
                </c:pt>
                <c:pt idx="547">
                  <c:v>37.7581452292415</c:v>
                </c:pt>
                <c:pt idx="548">
                  <c:v>37.7481954101358</c:v>
                </c:pt>
                <c:pt idx="549">
                  <c:v>37.7288172401332</c:v>
                </c:pt>
                <c:pt idx="550">
                  <c:v>37.7830068555756</c:v>
                </c:pt>
                <c:pt idx="551">
                  <c:v>37.8246650811086</c:v>
                </c:pt>
                <c:pt idx="552">
                  <c:v>37.8372030048876</c:v>
                </c:pt>
                <c:pt idx="553">
                  <c:v>37.8152035515762</c:v>
                </c:pt>
                <c:pt idx="554">
                  <c:v>37.7828461013348</c:v>
                </c:pt>
                <c:pt idx="555">
                  <c:v>39.936854026504</c:v>
                </c:pt>
                <c:pt idx="556">
                  <c:v>39.4074514666279</c:v>
                </c:pt>
                <c:pt idx="557">
                  <c:v>39.4313464017358</c:v>
                </c:pt>
                <c:pt idx="558">
                  <c:v>39.6045018195344</c:v>
                </c:pt>
                <c:pt idx="559">
                  <c:v>39.1463399502455</c:v>
                </c:pt>
                <c:pt idx="560">
                  <c:v>39.336230436168</c:v>
                </c:pt>
                <c:pt idx="561">
                  <c:v>39.2050715786537</c:v>
                </c:pt>
                <c:pt idx="562">
                  <c:v>39.1836296630489</c:v>
                </c:pt>
                <c:pt idx="563">
                  <c:v>38.8926802206924</c:v>
                </c:pt>
                <c:pt idx="564">
                  <c:v>38.8287653207642</c:v>
                </c:pt>
                <c:pt idx="565">
                  <c:v>38.9648641350801</c:v>
                </c:pt>
                <c:pt idx="566">
                  <c:v>39.1754540540465</c:v>
                </c:pt>
                <c:pt idx="567">
                  <c:v>39.1307500629267</c:v>
                </c:pt>
                <c:pt idx="568">
                  <c:v>38.9886480500217</c:v>
                </c:pt>
                <c:pt idx="569">
                  <c:v>38.7958829791684</c:v>
                </c:pt>
                <c:pt idx="570">
                  <c:v>38.5234854270418</c:v>
                </c:pt>
                <c:pt idx="571">
                  <c:v>38.5669201721099</c:v>
                </c:pt>
                <c:pt idx="572">
                  <c:v>38.8087751969863</c:v>
                </c:pt>
                <c:pt idx="573">
                  <c:v>38.7458726087152</c:v>
                </c:pt>
                <c:pt idx="574">
                  <c:v>38.7345501150223</c:v>
                </c:pt>
                <c:pt idx="575">
                  <c:v>38.6545354707601</c:v>
                </c:pt>
                <c:pt idx="576">
                  <c:v>38.6920116057425</c:v>
                </c:pt>
                <c:pt idx="577">
                  <c:v>38.744962627112</c:v>
                </c:pt>
                <c:pt idx="578">
                  <c:v>38.7790403188944</c:v>
                </c:pt>
                <c:pt idx="579">
                  <c:v>38.919134626082</c:v>
                </c:pt>
                <c:pt idx="580">
                  <c:v>39.0408940267449</c:v>
                </c:pt>
                <c:pt idx="581">
                  <c:v>39.1234464068421</c:v>
                </c:pt>
                <c:pt idx="582">
                  <c:v>38.7009879311114</c:v>
                </c:pt>
                <c:pt idx="583">
                  <c:v>38.7491902229469</c:v>
                </c:pt>
                <c:pt idx="584">
                  <c:v>38.6860406358171</c:v>
                </c:pt>
                <c:pt idx="585">
                  <c:v>38.9659573486716</c:v>
                </c:pt>
                <c:pt idx="586">
                  <c:v>38.9220760047273</c:v>
                </c:pt>
                <c:pt idx="587">
                  <c:v>38.8395075836525</c:v>
                </c:pt>
                <c:pt idx="588">
                  <c:v>38.6137294145036</c:v>
                </c:pt>
                <c:pt idx="589">
                  <c:v>38.5074530052978</c:v>
                </c:pt>
                <c:pt idx="590">
                  <c:v>38.1713926140865</c:v>
                </c:pt>
                <c:pt idx="591">
                  <c:v>38.1288976424447</c:v>
                </c:pt>
                <c:pt idx="592">
                  <c:v>38.1816185592436</c:v>
                </c:pt>
                <c:pt idx="593">
                  <c:v>38.2294687267934</c:v>
                </c:pt>
                <c:pt idx="594">
                  <c:v>38.0793467330013</c:v>
                </c:pt>
                <c:pt idx="595">
                  <c:v>38.1030026351068</c:v>
                </c:pt>
                <c:pt idx="596">
                  <c:v>38.1409675517628</c:v>
                </c:pt>
                <c:pt idx="597">
                  <c:v>38.4671907204141</c:v>
                </c:pt>
                <c:pt idx="598">
                  <c:v>38.4991558037327</c:v>
                </c:pt>
                <c:pt idx="599">
                  <c:v>38.2309486685222</c:v>
                </c:pt>
                <c:pt idx="600">
                  <c:v>38.1887231200441</c:v>
                </c:pt>
                <c:pt idx="601">
                  <c:v>38.8376741825429</c:v>
                </c:pt>
                <c:pt idx="602">
                  <c:v>38.9023109392444</c:v>
                </c:pt>
                <c:pt idx="603">
                  <c:v>34.2269437522052</c:v>
                </c:pt>
                <c:pt idx="604">
                  <c:v>34.2823655129055</c:v>
                </c:pt>
                <c:pt idx="605">
                  <c:v>34.2669461403037</c:v>
                </c:pt>
                <c:pt idx="606">
                  <c:v>34.2135145630646</c:v>
                </c:pt>
                <c:pt idx="607">
                  <c:v>34.2026108611491</c:v>
                </c:pt>
                <c:pt idx="608">
                  <c:v>34.204241023072</c:v>
                </c:pt>
                <c:pt idx="609">
                  <c:v>34.2104479970256</c:v>
                </c:pt>
                <c:pt idx="610">
                  <c:v>34.1837764574912</c:v>
                </c:pt>
                <c:pt idx="611">
                  <c:v>34.2284943853075</c:v>
                </c:pt>
                <c:pt idx="612">
                  <c:v>34.2090066894376</c:v>
                </c:pt>
                <c:pt idx="613">
                  <c:v>34.2633057027059</c:v>
                </c:pt>
                <c:pt idx="614">
                  <c:v>34.2400386716281</c:v>
                </c:pt>
                <c:pt idx="615">
                  <c:v>34.3165842690865</c:v>
                </c:pt>
                <c:pt idx="616">
                  <c:v>34.2236226757337</c:v>
                </c:pt>
                <c:pt idx="617">
                  <c:v>38.8325954755638</c:v>
                </c:pt>
                <c:pt idx="618">
                  <c:v>38.7627118315709</c:v>
                </c:pt>
                <c:pt idx="619">
                  <c:v>39.291223333393</c:v>
                </c:pt>
                <c:pt idx="620">
                  <c:v>39.1704771835871</c:v>
                </c:pt>
                <c:pt idx="621">
                  <c:v>39.0617777087716</c:v>
                </c:pt>
                <c:pt idx="622">
                  <c:v>39.1794890159893</c:v>
                </c:pt>
                <c:pt idx="623">
                  <c:v>39.2476929521561</c:v>
                </c:pt>
                <c:pt idx="624">
                  <c:v>39.2329535149963</c:v>
                </c:pt>
                <c:pt idx="625">
                  <c:v>39.0617282745344</c:v>
                </c:pt>
                <c:pt idx="626">
                  <c:v>39.1463455336251</c:v>
                </c:pt>
                <c:pt idx="627">
                  <c:v>39.0339825854903</c:v>
                </c:pt>
                <c:pt idx="628">
                  <c:v>39.0694007685677</c:v>
                </c:pt>
                <c:pt idx="629">
                  <c:v>38.8273921701302</c:v>
                </c:pt>
                <c:pt idx="630">
                  <c:v>39.4158954500891</c:v>
                </c:pt>
                <c:pt idx="631">
                  <c:v>39.4241100937481</c:v>
                </c:pt>
                <c:pt idx="632">
                  <c:v>33.6061093061337</c:v>
                </c:pt>
                <c:pt idx="633">
                  <c:v>33.400891594305</c:v>
                </c:pt>
                <c:pt idx="634">
                  <c:v>33.3669711645203</c:v>
                </c:pt>
                <c:pt idx="635">
                  <c:v>33.3700264123366</c:v>
                </c:pt>
                <c:pt idx="636">
                  <c:v>33.3585161734023</c:v>
                </c:pt>
                <c:pt idx="637">
                  <c:v>33.3728075153105</c:v>
                </c:pt>
                <c:pt idx="638">
                  <c:v>33.3680348101138</c:v>
                </c:pt>
                <c:pt idx="639">
                  <c:v>33.3796332757731</c:v>
                </c:pt>
                <c:pt idx="640">
                  <c:v>33.3454068096931</c:v>
                </c:pt>
                <c:pt idx="641">
                  <c:v>33.4780723639134</c:v>
                </c:pt>
                <c:pt idx="642">
                  <c:v>33.3950296177715</c:v>
                </c:pt>
                <c:pt idx="643">
                  <c:v>33.3447206082703</c:v>
                </c:pt>
                <c:pt idx="644">
                  <c:v>33.366294332377</c:v>
                </c:pt>
                <c:pt idx="645">
                  <c:v>33.3963725508635</c:v>
                </c:pt>
                <c:pt idx="646">
                  <c:v>39.4379670038134</c:v>
                </c:pt>
                <c:pt idx="647">
                  <c:v>39.4243020537569</c:v>
                </c:pt>
                <c:pt idx="648">
                  <c:v>39.4233114215248</c:v>
                </c:pt>
                <c:pt idx="649">
                  <c:v>39.4320090847814</c:v>
                </c:pt>
                <c:pt idx="650">
                  <c:v>39.4322874190181</c:v>
                </c:pt>
                <c:pt idx="651">
                  <c:v>39.4192061014371</c:v>
                </c:pt>
                <c:pt idx="652">
                  <c:v>39.431060937677</c:v>
                </c:pt>
                <c:pt idx="653">
                  <c:v>39.4353433316358</c:v>
                </c:pt>
                <c:pt idx="654">
                  <c:v>39.4184211240902</c:v>
                </c:pt>
                <c:pt idx="655">
                  <c:v>39.4339202155082</c:v>
                </c:pt>
                <c:pt idx="656">
                  <c:v>39.4227689889017</c:v>
                </c:pt>
                <c:pt idx="657">
                  <c:v>39.4252726886951</c:v>
                </c:pt>
                <c:pt idx="658">
                  <c:v>39.4326134582455</c:v>
                </c:pt>
                <c:pt idx="659">
                  <c:v>39.4139460843067</c:v>
                </c:pt>
                <c:pt idx="660">
                  <c:v>39.4402491618518</c:v>
                </c:pt>
                <c:pt idx="661">
                  <c:v>39.415199889433</c:v>
                </c:pt>
                <c:pt idx="662">
                  <c:v>36.8447047725236</c:v>
                </c:pt>
                <c:pt idx="663">
                  <c:v>36.8330781720809</c:v>
                </c:pt>
                <c:pt idx="664">
                  <c:v>36.8609240839506</c:v>
                </c:pt>
                <c:pt idx="665">
                  <c:v>36.845170015648</c:v>
                </c:pt>
                <c:pt idx="666">
                  <c:v>36.8433356044706</c:v>
                </c:pt>
                <c:pt idx="667">
                  <c:v>35.1500417171006</c:v>
                </c:pt>
                <c:pt idx="668">
                  <c:v>36.845376003684</c:v>
                </c:pt>
                <c:pt idx="669">
                  <c:v>36.8751745347866</c:v>
                </c:pt>
                <c:pt idx="670">
                  <c:v>35.1324194997821</c:v>
                </c:pt>
                <c:pt idx="671">
                  <c:v>36.8433808895093</c:v>
                </c:pt>
                <c:pt idx="672">
                  <c:v>36.8445903664527</c:v>
                </c:pt>
                <c:pt idx="673">
                  <c:v>36.845333835185</c:v>
                </c:pt>
                <c:pt idx="674">
                  <c:v>35.1365882004887</c:v>
                </c:pt>
                <c:pt idx="675">
                  <c:v>36.8493277249516</c:v>
                </c:pt>
                <c:pt idx="676">
                  <c:v>36.8499369788471</c:v>
                </c:pt>
                <c:pt idx="677">
                  <c:v>35.0900518924848</c:v>
                </c:pt>
                <c:pt idx="678">
                  <c:v>36.8507496455907</c:v>
                </c:pt>
                <c:pt idx="679">
                  <c:v>40.3094377792702</c:v>
                </c:pt>
                <c:pt idx="680">
                  <c:v>35.1058220765855</c:v>
                </c:pt>
                <c:pt idx="681">
                  <c:v>35.0792081287894</c:v>
                </c:pt>
                <c:pt idx="682">
                  <c:v>35.0595976276178</c:v>
                </c:pt>
                <c:pt idx="683">
                  <c:v>35.1022906707845</c:v>
                </c:pt>
                <c:pt idx="684">
                  <c:v>35.0949149129421</c:v>
                </c:pt>
                <c:pt idx="685">
                  <c:v>35.1301191761834</c:v>
                </c:pt>
                <c:pt idx="686">
                  <c:v>35.143310158096</c:v>
                </c:pt>
                <c:pt idx="687">
                  <c:v>35.0918353506324</c:v>
                </c:pt>
                <c:pt idx="688">
                  <c:v>35.0956223035497</c:v>
                </c:pt>
                <c:pt idx="689">
                  <c:v>35.0992898054339</c:v>
                </c:pt>
                <c:pt idx="690">
                  <c:v>35.1387867996641</c:v>
                </c:pt>
                <c:pt idx="691">
                  <c:v>35.1285974431149</c:v>
                </c:pt>
                <c:pt idx="692">
                  <c:v>35.0988795690113</c:v>
                </c:pt>
                <c:pt idx="693">
                  <c:v>41.152082299484</c:v>
                </c:pt>
                <c:pt idx="694">
                  <c:v>35.1333478208858</c:v>
                </c:pt>
                <c:pt idx="695">
                  <c:v>35.1186105189614</c:v>
                </c:pt>
                <c:pt idx="696">
                  <c:v>33.5860219165208</c:v>
                </c:pt>
                <c:pt idx="697">
                  <c:v>33.3904249286624</c:v>
                </c:pt>
                <c:pt idx="698">
                  <c:v>33.385026422557</c:v>
                </c:pt>
                <c:pt idx="699">
                  <c:v>33.4273450560941</c:v>
                </c:pt>
                <c:pt idx="700">
                  <c:v>35.1143293767339</c:v>
                </c:pt>
                <c:pt idx="701">
                  <c:v>35.1076772836873</c:v>
                </c:pt>
                <c:pt idx="702">
                  <c:v>35.2094262048036</c:v>
                </c:pt>
                <c:pt idx="703">
                  <c:v>35.0748134092244</c:v>
                </c:pt>
                <c:pt idx="704">
                  <c:v>35.1505599619441</c:v>
                </c:pt>
                <c:pt idx="705">
                  <c:v>35.2545285104931</c:v>
                </c:pt>
                <c:pt idx="706">
                  <c:v>35.4996169081916</c:v>
                </c:pt>
                <c:pt idx="707">
                  <c:v>41.1472262823157</c:v>
                </c:pt>
                <c:pt idx="708">
                  <c:v>36.8805644617596</c:v>
                </c:pt>
                <c:pt idx="709">
                  <c:v>37.0438897369465</c:v>
                </c:pt>
                <c:pt idx="710">
                  <c:v>36.8929899391119</c:v>
                </c:pt>
                <c:pt idx="711">
                  <c:v>36.8832915240713</c:v>
                </c:pt>
                <c:pt idx="712">
                  <c:v>35.3946930459372</c:v>
                </c:pt>
                <c:pt idx="713">
                  <c:v>36.9810302425417</c:v>
                </c:pt>
                <c:pt idx="714">
                  <c:v>36.8681088374176</c:v>
                </c:pt>
                <c:pt idx="715">
                  <c:v>35.4590665462403</c:v>
                </c:pt>
                <c:pt idx="716">
                  <c:v>35.6063889438551</c:v>
                </c:pt>
                <c:pt idx="717">
                  <c:v>35.3293898612304</c:v>
                </c:pt>
                <c:pt idx="718">
                  <c:v>35.2984535221025</c:v>
                </c:pt>
                <c:pt idx="719">
                  <c:v>35.5644666405922</c:v>
                </c:pt>
                <c:pt idx="720">
                  <c:v>35.4433555139585</c:v>
                </c:pt>
                <c:pt idx="721">
                  <c:v>35.2907983231086</c:v>
                </c:pt>
                <c:pt idx="722">
                  <c:v>35.329497070125</c:v>
                </c:pt>
                <c:pt idx="723">
                  <c:v>41.0667879866875</c:v>
                </c:pt>
                <c:pt idx="724">
                  <c:v>41.1140605826501</c:v>
                </c:pt>
                <c:pt idx="725">
                  <c:v>41.0715551992786</c:v>
                </c:pt>
                <c:pt idx="726">
                  <c:v>41.1219294825188</c:v>
                </c:pt>
                <c:pt idx="727">
                  <c:v>41.0891471477189</c:v>
                </c:pt>
                <c:pt idx="728">
                  <c:v>41.1321189843423</c:v>
                </c:pt>
                <c:pt idx="729">
                  <c:v>35.1192335783619</c:v>
                </c:pt>
                <c:pt idx="730">
                  <c:v>35.0854866257956</c:v>
                </c:pt>
                <c:pt idx="731">
                  <c:v>35.1238425427886</c:v>
                </c:pt>
                <c:pt idx="732">
                  <c:v>35.1211826908081</c:v>
                </c:pt>
                <c:pt idx="733">
                  <c:v>35.0877499484634</c:v>
                </c:pt>
                <c:pt idx="734">
                  <c:v>35.0506047961983</c:v>
                </c:pt>
                <c:pt idx="735">
                  <c:v>35.0618572611499</c:v>
                </c:pt>
                <c:pt idx="736">
                  <c:v>35.0793240323112</c:v>
                </c:pt>
                <c:pt idx="737">
                  <c:v>41.0857903779795</c:v>
                </c:pt>
                <c:pt idx="738">
                  <c:v>41.1511146532193</c:v>
                </c:pt>
                <c:pt idx="739">
                  <c:v>41.0918824195328</c:v>
                </c:pt>
                <c:pt idx="740">
                  <c:v>41.1208485635095</c:v>
                </c:pt>
                <c:pt idx="741">
                  <c:v>41.1298835785724</c:v>
                </c:pt>
                <c:pt idx="742">
                  <c:v>41.1573646064483</c:v>
                </c:pt>
                <c:pt idx="743">
                  <c:v>41.1442106346625</c:v>
                </c:pt>
                <c:pt idx="744">
                  <c:v>41.1116465511377</c:v>
                </c:pt>
                <c:pt idx="745">
                  <c:v>41.1513910863312</c:v>
                </c:pt>
                <c:pt idx="746">
                  <c:v>41.1203206666184</c:v>
                </c:pt>
                <c:pt idx="747">
                  <c:v>41.1193795110712</c:v>
                </c:pt>
                <c:pt idx="748">
                  <c:v>41.116989714449</c:v>
                </c:pt>
                <c:pt idx="749">
                  <c:v>41.1315461554854</c:v>
                </c:pt>
                <c:pt idx="750">
                  <c:v>41.1153903792948</c:v>
                </c:pt>
                <c:pt idx="751">
                  <c:v>33.4150942355949</c:v>
                </c:pt>
                <c:pt idx="752">
                  <c:v>41.18321462887</c:v>
                </c:pt>
                <c:pt idx="753">
                  <c:v>34.1979552643021</c:v>
                </c:pt>
                <c:pt idx="754">
                  <c:v>34.2315119187972</c:v>
                </c:pt>
                <c:pt idx="755">
                  <c:v>34.2769297905964</c:v>
                </c:pt>
                <c:pt idx="756">
                  <c:v>34.2738194013651</c:v>
                </c:pt>
                <c:pt idx="757">
                  <c:v>34.2453101397145</c:v>
                </c:pt>
                <c:pt idx="758">
                  <c:v>34.2302072511884</c:v>
                </c:pt>
                <c:pt idx="759">
                  <c:v>34.2072293472022</c:v>
                </c:pt>
                <c:pt idx="760">
                  <c:v>33.4440612825956</c:v>
                </c:pt>
                <c:pt idx="761">
                  <c:v>33.4052201663749</c:v>
                </c:pt>
                <c:pt idx="762">
                  <c:v>33.4259106420185</c:v>
                </c:pt>
                <c:pt idx="763">
                  <c:v>33.3895732184343</c:v>
                </c:pt>
                <c:pt idx="764">
                  <c:v>34.2676650231103</c:v>
                </c:pt>
                <c:pt idx="765">
                  <c:v>34.2530213447062</c:v>
                </c:pt>
                <c:pt idx="766">
                  <c:v>34.3424437820036</c:v>
                </c:pt>
                <c:pt idx="767">
                  <c:v>34.2857603312227</c:v>
                </c:pt>
                <c:pt idx="768">
                  <c:v>34.2769350910714</c:v>
                </c:pt>
                <c:pt idx="769">
                  <c:v>34.305694015687</c:v>
                </c:pt>
                <c:pt idx="770">
                  <c:v>34.2515803218878</c:v>
                </c:pt>
                <c:pt idx="771">
                  <c:v>41.1569248259328</c:v>
                </c:pt>
                <c:pt idx="772">
                  <c:v>42.0061644000983</c:v>
                </c:pt>
                <c:pt idx="773">
                  <c:v>41.9901248914818</c:v>
                </c:pt>
                <c:pt idx="774">
                  <c:v>42.021449708714</c:v>
                </c:pt>
                <c:pt idx="775">
                  <c:v>42.0320360364249</c:v>
                </c:pt>
                <c:pt idx="776">
                  <c:v>42.020851481432</c:v>
                </c:pt>
                <c:pt idx="777">
                  <c:v>41.9882250171524</c:v>
                </c:pt>
                <c:pt idx="778">
                  <c:v>42.012325841211</c:v>
                </c:pt>
                <c:pt idx="779">
                  <c:v>35.0989235773449</c:v>
                </c:pt>
                <c:pt idx="780">
                  <c:v>41.9771237351868</c:v>
                </c:pt>
                <c:pt idx="781">
                  <c:v>41.9879203850052</c:v>
                </c:pt>
                <c:pt idx="782">
                  <c:v>35.1204186600846</c:v>
                </c:pt>
                <c:pt idx="783">
                  <c:v>42.0092269690027</c:v>
                </c:pt>
                <c:pt idx="784">
                  <c:v>42.0239038911385</c:v>
                </c:pt>
                <c:pt idx="785">
                  <c:v>41.9776163270868</c:v>
                </c:pt>
                <c:pt idx="786">
                  <c:v>36.8416684963058</c:v>
                </c:pt>
                <c:pt idx="787">
                  <c:v>36.545761271614</c:v>
                </c:pt>
                <c:pt idx="788">
                  <c:v>38.2444270349412</c:v>
                </c:pt>
                <c:pt idx="789">
                  <c:v>38.5008928270768</c:v>
                </c:pt>
                <c:pt idx="790">
                  <c:v>39.1065627160901</c:v>
                </c:pt>
                <c:pt idx="791">
                  <c:v>38.1918918135756</c:v>
                </c:pt>
                <c:pt idx="792">
                  <c:v>38.3192782563734</c:v>
                </c:pt>
                <c:pt idx="793">
                  <c:v>38.4624073678872</c:v>
                </c:pt>
                <c:pt idx="794">
                  <c:v>38.560954377626</c:v>
                </c:pt>
                <c:pt idx="795">
                  <c:v>38.7797113480527</c:v>
                </c:pt>
                <c:pt idx="796">
                  <c:v>39.1165872703338</c:v>
                </c:pt>
                <c:pt idx="797">
                  <c:v>39.3904288114104</c:v>
                </c:pt>
                <c:pt idx="798">
                  <c:v>37.8973091923947</c:v>
                </c:pt>
                <c:pt idx="799">
                  <c:v>38.381796676059</c:v>
                </c:pt>
                <c:pt idx="800">
                  <c:v>41.9940850066596</c:v>
                </c:pt>
                <c:pt idx="801">
                  <c:v>41.9876750925003</c:v>
                </c:pt>
                <c:pt idx="802">
                  <c:v>42.0469245352396</c:v>
                </c:pt>
                <c:pt idx="803">
                  <c:v>42.0412665672268</c:v>
                </c:pt>
                <c:pt idx="804">
                  <c:v>42.0788091557874</c:v>
                </c:pt>
                <c:pt idx="805">
                  <c:v>42.0602364280394</c:v>
                </c:pt>
                <c:pt idx="806">
                  <c:v>42.0373733013638</c:v>
                </c:pt>
                <c:pt idx="807">
                  <c:v>42.0193612417254</c:v>
                </c:pt>
                <c:pt idx="808">
                  <c:v>42.0422327903428</c:v>
                </c:pt>
                <c:pt idx="809">
                  <c:v>41.9489985085394</c:v>
                </c:pt>
                <c:pt idx="810">
                  <c:v>41.9952069923468</c:v>
                </c:pt>
                <c:pt idx="811">
                  <c:v>42.0596543698392</c:v>
                </c:pt>
                <c:pt idx="812">
                  <c:v>42.0278214369031</c:v>
                </c:pt>
                <c:pt idx="813">
                  <c:v>41.898107604679</c:v>
                </c:pt>
                <c:pt idx="814">
                  <c:v>41.0992984507844</c:v>
                </c:pt>
                <c:pt idx="815">
                  <c:v>39.8390263632823</c:v>
                </c:pt>
                <c:pt idx="816">
                  <c:v>40.3617123194045</c:v>
                </c:pt>
                <c:pt idx="817">
                  <c:v>39.7098445391484</c:v>
                </c:pt>
                <c:pt idx="818">
                  <c:v>39.8088896212961</c:v>
                </c:pt>
                <c:pt idx="819">
                  <c:v>39.5954356709525</c:v>
                </c:pt>
                <c:pt idx="820">
                  <c:v>39.3672456343988</c:v>
                </c:pt>
                <c:pt idx="821">
                  <c:v>36.8321387265295</c:v>
                </c:pt>
                <c:pt idx="822">
                  <c:v>36.9072834898559</c:v>
                </c:pt>
                <c:pt idx="823">
                  <c:v>36.9962110757428</c:v>
                </c:pt>
                <c:pt idx="824">
                  <c:v>37.2373260043959</c:v>
                </c:pt>
                <c:pt idx="825">
                  <c:v>37.0877137731561</c:v>
                </c:pt>
                <c:pt idx="826">
                  <c:v>39.3536680439988</c:v>
                </c:pt>
                <c:pt idx="827">
                  <c:v>39.9955432709909</c:v>
                </c:pt>
                <c:pt idx="828">
                  <c:v>42.0736059199616</c:v>
                </c:pt>
                <c:pt idx="829">
                  <c:v>35.2629547732758</c:v>
                </c:pt>
                <c:pt idx="830">
                  <c:v>35.2397776595076</c:v>
                </c:pt>
                <c:pt idx="831">
                  <c:v>35.2495861388846</c:v>
                </c:pt>
                <c:pt idx="832">
                  <c:v>35.3919634612776</c:v>
                </c:pt>
                <c:pt idx="833">
                  <c:v>35.3273894246636</c:v>
                </c:pt>
                <c:pt idx="834">
                  <c:v>35.153963869974</c:v>
                </c:pt>
                <c:pt idx="835">
                  <c:v>35.209690540942</c:v>
                </c:pt>
                <c:pt idx="836">
                  <c:v>35.2459978245762</c:v>
                </c:pt>
                <c:pt idx="837">
                  <c:v>35.245597136867</c:v>
                </c:pt>
                <c:pt idx="838">
                  <c:v>35.1953834422061</c:v>
                </c:pt>
                <c:pt idx="839">
                  <c:v>35.2307189072796</c:v>
                </c:pt>
                <c:pt idx="840">
                  <c:v>35.2020946224301</c:v>
                </c:pt>
                <c:pt idx="841">
                  <c:v>35.1902208811808</c:v>
                </c:pt>
                <c:pt idx="842">
                  <c:v>34.3934365086482</c:v>
                </c:pt>
                <c:pt idx="843">
                  <c:v>34.1465923443226</c:v>
                </c:pt>
                <c:pt idx="844">
                  <c:v>34.1947625863515</c:v>
                </c:pt>
                <c:pt idx="845">
                  <c:v>34.159196375712</c:v>
                </c:pt>
                <c:pt idx="846">
                  <c:v>34.1401340154849</c:v>
                </c:pt>
                <c:pt idx="847">
                  <c:v>34.108726212587</c:v>
                </c:pt>
                <c:pt idx="848">
                  <c:v>34.1397893979742</c:v>
                </c:pt>
                <c:pt idx="849">
                  <c:v>34.1358019291728</c:v>
                </c:pt>
                <c:pt idx="850">
                  <c:v>34.2186972182101</c:v>
                </c:pt>
                <c:pt idx="851">
                  <c:v>34.1982085465228</c:v>
                </c:pt>
                <c:pt idx="852">
                  <c:v>34.2138856767665</c:v>
                </c:pt>
                <c:pt idx="853">
                  <c:v>34.1601891530696</c:v>
                </c:pt>
                <c:pt idx="854">
                  <c:v>34.1388986808835</c:v>
                </c:pt>
                <c:pt idx="855">
                  <c:v>34.1287913237038</c:v>
                </c:pt>
                <c:pt idx="856">
                  <c:v>34.1903978697418</c:v>
                </c:pt>
                <c:pt idx="857">
                  <c:v>34.1484834489472</c:v>
                </c:pt>
                <c:pt idx="858">
                  <c:v>34.1774296465316</c:v>
                </c:pt>
                <c:pt idx="859">
                  <c:v>34.1624220217837</c:v>
                </c:pt>
                <c:pt idx="860">
                  <c:v>34.1627354097312</c:v>
                </c:pt>
                <c:pt idx="861">
                  <c:v>42.0521235258198</c:v>
                </c:pt>
                <c:pt idx="862">
                  <c:v>42.0507130490258</c:v>
                </c:pt>
                <c:pt idx="863">
                  <c:v>42.0846147609739</c:v>
                </c:pt>
                <c:pt idx="864">
                  <c:v>42.0562699097992</c:v>
                </c:pt>
                <c:pt idx="865">
                  <c:v>42.0653784223653</c:v>
                </c:pt>
                <c:pt idx="866">
                  <c:v>42.0624417603515</c:v>
                </c:pt>
                <c:pt idx="867">
                  <c:v>42.0729063206127</c:v>
                </c:pt>
                <c:pt idx="868">
                  <c:v>42.072456199019</c:v>
                </c:pt>
                <c:pt idx="869">
                  <c:v>42.0479990349036</c:v>
                </c:pt>
                <c:pt idx="870">
                  <c:v>42.0620415717729</c:v>
                </c:pt>
                <c:pt idx="871">
                  <c:v>42.0529973963184</c:v>
                </c:pt>
                <c:pt idx="872">
                  <c:v>42.0638151276014</c:v>
                </c:pt>
                <c:pt idx="873">
                  <c:v>42.0568745650987</c:v>
                </c:pt>
                <c:pt idx="874">
                  <c:v>42.0574224652591</c:v>
                </c:pt>
                <c:pt idx="875">
                  <c:v>42.0702903683574</c:v>
                </c:pt>
                <c:pt idx="876">
                  <c:v>35.0846355524535</c:v>
                </c:pt>
                <c:pt idx="877">
                  <c:v>34.3190344228336</c:v>
                </c:pt>
                <c:pt idx="878">
                  <c:v>34.2628367455256</c:v>
                </c:pt>
                <c:pt idx="879">
                  <c:v>34.2702771366652</c:v>
                </c:pt>
                <c:pt idx="880">
                  <c:v>34.295113845947</c:v>
                </c:pt>
                <c:pt idx="881">
                  <c:v>34.238660304976</c:v>
                </c:pt>
                <c:pt idx="882">
                  <c:v>34.2309697176042</c:v>
                </c:pt>
                <c:pt idx="883">
                  <c:v>34.3371326054342</c:v>
                </c:pt>
                <c:pt idx="884">
                  <c:v>34.2709388181369</c:v>
                </c:pt>
                <c:pt idx="885">
                  <c:v>34.245244651385</c:v>
                </c:pt>
                <c:pt idx="886">
                  <c:v>34.3207931386956</c:v>
                </c:pt>
                <c:pt idx="887">
                  <c:v>34.2876729394965</c:v>
                </c:pt>
                <c:pt idx="888">
                  <c:v>34.2466211479634</c:v>
                </c:pt>
                <c:pt idx="889">
                  <c:v>34.2578495900648</c:v>
                </c:pt>
                <c:pt idx="890">
                  <c:v>42.0548700968593</c:v>
                </c:pt>
                <c:pt idx="891">
                  <c:v>34.1917837525079</c:v>
                </c:pt>
                <c:pt idx="892">
                  <c:v>35.1005635238472</c:v>
                </c:pt>
                <c:pt idx="893">
                  <c:v>35.1124147747551</c:v>
                </c:pt>
                <c:pt idx="894">
                  <c:v>34.2681418306071</c:v>
                </c:pt>
                <c:pt idx="895">
                  <c:v>35.0875277272318</c:v>
                </c:pt>
                <c:pt idx="896">
                  <c:v>35.0869370283777</c:v>
                </c:pt>
                <c:pt idx="897">
                  <c:v>35.0912446222983</c:v>
                </c:pt>
                <c:pt idx="898">
                  <c:v>34.2501994264006</c:v>
                </c:pt>
                <c:pt idx="899">
                  <c:v>35.1223207640884</c:v>
                </c:pt>
                <c:pt idx="900">
                  <c:v>35.0926231543059</c:v>
                </c:pt>
                <c:pt idx="901">
                  <c:v>34.248000135828</c:v>
                </c:pt>
                <c:pt idx="902">
                  <c:v>35.1011241525127</c:v>
                </c:pt>
                <c:pt idx="903">
                  <c:v>35.1012254293302</c:v>
                </c:pt>
                <c:pt idx="904">
                  <c:v>35.1245799532197</c:v>
                </c:pt>
                <c:pt idx="905">
                  <c:v>42.043180704995</c:v>
                </c:pt>
                <c:pt idx="906">
                  <c:v>33.3920410593842</c:v>
                </c:pt>
                <c:pt idx="907">
                  <c:v>33.4193887507211</c:v>
                </c:pt>
                <c:pt idx="908">
                  <c:v>33.4431077780595</c:v>
                </c:pt>
                <c:pt idx="909">
                  <c:v>33.3652607775276</c:v>
                </c:pt>
                <c:pt idx="910">
                  <c:v>33.4126462500486</c:v>
                </c:pt>
                <c:pt idx="911">
                  <c:v>33.3970494728382</c:v>
                </c:pt>
                <c:pt idx="912">
                  <c:v>33.3649823730827</c:v>
                </c:pt>
                <c:pt idx="913">
                  <c:v>33.3362074327515</c:v>
                </c:pt>
                <c:pt idx="914">
                  <c:v>33.3944615663512</c:v>
                </c:pt>
                <c:pt idx="915">
                  <c:v>33.4001973516635</c:v>
                </c:pt>
                <c:pt idx="916">
                  <c:v>33.3634358317369</c:v>
                </c:pt>
                <c:pt idx="917">
                  <c:v>33.3924428366717</c:v>
                </c:pt>
                <c:pt idx="918">
                  <c:v>33.3530819728811</c:v>
                </c:pt>
                <c:pt idx="919">
                  <c:v>33.45450676198</c:v>
                </c:pt>
                <c:pt idx="920">
                  <c:v>42.0671514241051</c:v>
                </c:pt>
                <c:pt idx="921">
                  <c:v>42.0572793192035</c:v>
                </c:pt>
                <c:pt idx="922">
                  <c:v>42.063300934441</c:v>
                </c:pt>
                <c:pt idx="923">
                  <c:v>42.0819863537002</c:v>
                </c:pt>
                <c:pt idx="924">
                  <c:v>42.0543474955874</c:v>
                </c:pt>
                <c:pt idx="925">
                  <c:v>42.0682234553087</c:v>
                </c:pt>
                <c:pt idx="926">
                  <c:v>42.0578107237596</c:v>
                </c:pt>
                <c:pt idx="927">
                  <c:v>42.0793796082159</c:v>
                </c:pt>
                <c:pt idx="928">
                  <c:v>42.0657788792875</c:v>
                </c:pt>
                <c:pt idx="929">
                  <c:v>42.0553127213763</c:v>
                </c:pt>
                <c:pt idx="930">
                  <c:v>42.0445774839242</c:v>
                </c:pt>
                <c:pt idx="931">
                  <c:v>42.0571462174329</c:v>
                </c:pt>
                <c:pt idx="932">
                  <c:v>42.0779100359338</c:v>
                </c:pt>
                <c:pt idx="933">
                  <c:v>42.0507130490258</c:v>
                </c:pt>
                <c:pt idx="934">
                  <c:v>42.0692772845097</c:v>
                </c:pt>
                <c:pt idx="935">
                  <c:v>42.0551616308663</c:v>
                </c:pt>
                <c:pt idx="936">
                  <c:v>42.0554233243322</c:v>
                </c:pt>
                <c:pt idx="937">
                  <c:v>42.0590071113892</c:v>
                </c:pt>
                <c:pt idx="938">
                  <c:v>42.0757763784378</c:v>
                </c:pt>
                <c:pt idx="939">
                  <c:v>42.0450128660059</c:v>
                </c:pt>
                <c:pt idx="940">
                  <c:v>42.0736988742827</c:v>
                </c:pt>
                <c:pt idx="941">
                  <c:v>42.0647837491898</c:v>
                </c:pt>
                <c:pt idx="942">
                  <c:v>42.064162791889</c:v>
                </c:pt>
                <c:pt idx="943">
                  <c:v>42.0571660838901</c:v>
                </c:pt>
                <c:pt idx="944">
                  <c:v>42.0600652513356</c:v>
                </c:pt>
                <c:pt idx="945">
                  <c:v>42.0762055556588</c:v>
                </c:pt>
                <c:pt idx="946">
                  <c:v>42.0734090038713</c:v>
                </c:pt>
                <c:pt idx="947">
                  <c:v>42.0504960763544</c:v>
                </c:pt>
                <c:pt idx="948">
                  <c:v>42.0448427946324</c:v>
                </c:pt>
                <c:pt idx="949">
                  <c:v>42.0693833288486</c:v>
                </c:pt>
                <c:pt idx="950">
                  <c:v>42.0640576200526</c:v>
                </c:pt>
                <c:pt idx="951">
                  <c:v>42.0505261298603</c:v>
                </c:pt>
                <c:pt idx="952">
                  <c:v>42.0586576401006</c:v>
                </c:pt>
                <c:pt idx="953">
                  <c:v>42.0623391908599</c:v>
                </c:pt>
                <c:pt idx="954">
                  <c:v>34.285720484624</c:v>
                </c:pt>
                <c:pt idx="955">
                  <c:v>34.8333901705921</c:v>
                </c:pt>
                <c:pt idx="956">
                  <c:v>34.637432223196</c:v>
                </c:pt>
                <c:pt idx="957">
                  <c:v>34.2647071256071</c:v>
                </c:pt>
                <c:pt idx="958">
                  <c:v>34.4194740126999</c:v>
                </c:pt>
                <c:pt idx="959">
                  <c:v>35.0026940798333</c:v>
                </c:pt>
                <c:pt idx="960">
                  <c:v>34.7392325845085</c:v>
                </c:pt>
                <c:pt idx="961">
                  <c:v>34.5924512072924</c:v>
                </c:pt>
                <c:pt idx="962">
                  <c:v>34.613827111093</c:v>
                </c:pt>
                <c:pt idx="963">
                  <c:v>34.5864385014415</c:v>
                </c:pt>
                <c:pt idx="964">
                  <c:v>34.6234417858996</c:v>
                </c:pt>
                <c:pt idx="965">
                  <c:v>34.4821245873421</c:v>
                </c:pt>
                <c:pt idx="966">
                  <c:v>34.6867654178461</c:v>
                </c:pt>
                <c:pt idx="967">
                  <c:v>42.0654378340293</c:v>
                </c:pt>
                <c:pt idx="968">
                  <c:v>33.9271381425368</c:v>
                </c:pt>
                <c:pt idx="969">
                  <c:v>34.0567990273501</c:v>
                </c:pt>
                <c:pt idx="970">
                  <c:v>34.1037725306415</c:v>
                </c:pt>
                <c:pt idx="971">
                  <c:v>34.1642971333414</c:v>
                </c:pt>
                <c:pt idx="972">
                  <c:v>34.1454815238629</c:v>
                </c:pt>
                <c:pt idx="973">
                  <c:v>34.1664685193547</c:v>
                </c:pt>
                <c:pt idx="974">
                  <c:v>34.1391353192791</c:v>
                </c:pt>
                <c:pt idx="975">
                  <c:v>34.1580162426245</c:v>
                </c:pt>
                <c:pt idx="976">
                  <c:v>34.1382701860846</c:v>
                </c:pt>
                <c:pt idx="977">
                  <c:v>34.1971377409272</c:v>
                </c:pt>
                <c:pt idx="978">
                  <c:v>34.1750977215276</c:v>
                </c:pt>
                <c:pt idx="979">
                  <c:v>34.1601601032781</c:v>
                </c:pt>
                <c:pt idx="980">
                  <c:v>34.1327325026223</c:v>
                </c:pt>
                <c:pt idx="981">
                  <c:v>34.1878251934432</c:v>
                </c:pt>
                <c:pt idx="982">
                  <c:v>42.0700449189056</c:v>
                </c:pt>
                <c:pt idx="983">
                  <c:v>42.0720595107</c:v>
                </c:pt>
                <c:pt idx="984">
                  <c:v>40.3421588928713</c:v>
                </c:pt>
                <c:pt idx="985">
                  <c:v>40.3558989040483</c:v>
                </c:pt>
                <c:pt idx="986">
                  <c:v>40.3234237038565</c:v>
                </c:pt>
                <c:pt idx="987">
                  <c:v>40.3370698501937</c:v>
                </c:pt>
                <c:pt idx="988">
                  <c:v>40.2976506711127</c:v>
                </c:pt>
                <c:pt idx="989">
                  <c:v>40.3447106791437</c:v>
                </c:pt>
                <c:pt idx="990">
                  <c:v>40.3387838426933</c:v>
                </c:pt>
                <c:pt idx="991">
                  <c:v>40.3143894923367</c:v>
                </c:pt>
                <c:pt idx="992">
                  <c:v>40.3387232285387</c:v>
                </c:pt>
                <c:pt idx="993">
                  <c:v>40.3442081258543</c:v>
                </c:pt>
                <c:pt idx="994">
                  <c:v>40.3172831619397</c:v>
                </c:pt>
                <c:pt idx="995">
                  <c:v>40.3444317614738</c:v>
                </c:pt>
                <c:pt idx="996">
                  <c:v>40.3584308638721</c:v>
                </c:pt>
                <c:pt idx="997">
                  <c:v>40.3135979579215</c:v>
                </c:pt>
                <c:pt idx="998">
                  <c:v>40.3345838551613</c:v>
                </c:pt>
                <c:pt idx="999">
                  <c:v>40.3510334868044</c:v>
                </c:pt>
                <c:pt idx="1000">
                  <c:v>40.3212563092123</c:v>
                </c:pt>
                <c:pt idx="1001">
                  <c:v>40.3082352976748</c:v>
                </c:pt>
                <c:pt idx="1002">
                  <c:v>40.3158637677667</c:v>
                </c:pt>
                <c:pt idx="1003">
                  <c:v>37.1896173407493</c:v>
                </c:pt>
                <c:pt idx="1004">
                  <c:v>37.1703974389795</c:v>
                </c:pt>
                <c:pt idx="1005">
                  <c:v>36.9825385672398</c:v>
                </c:pt>
                <c:pt idx="1006">
                  <c:v>37.0186595036914</c:v>
                </c:pt>
                <c:pt idx="1007">
                  <c:v>37.3717215809322</c:v>
                </c:pt>
                <c:pt idx="1008">
                  <c:v>40.3273675484494</c:v>
                </c:pt>
                <c:pt idx="1009">
                  <c:v>40.3091309677861</c:v>
                </c:pt>
                <c:pt idx="1010">
                  <c:v>40.3384117342631</c:v>
                </c:pt>
                <c:pt idx="1011">
                  <c:v>40.3905025246377</c:v>
                </c:pt>
                <c:pt idx="1012">
                  <c:v>40.3257641963298</c:v>
                </c:pt>
                <c:pt idx="1013">
                  <c:v>40.3212114629756</c:v>
                </c:pt>
                <c:pt idx="1014">
                  <c:v>40.3048156128583</c:v>
                </c:pt>
                <c:pt idx="1015">
                  <c:v>40.3285694329811</c:v>
                </c:pt>
                <c:pt idx="1016">
                  <c:v>40.3057308846766</c:v>
                </c:pt>
                <c:pt idx="1017">
                  <c:v>40.3949996942384</c:v>
                </c:pt>
                <c:pt idx="1018">
                  <c:v>42.8679703083685</c:v>
                </c:pt>
                <c:pt idx="1019">
                  <c:v>42.9177557448642</c:v>
                </c:pt>
                <c:pt idx="1020">
                  <c:v>42.9245597538294</c:v>
                </c:pt>
                <c:pt idx="1021">
                  <c:v>42.9185676807118</c:v>
                </c:pt>
                <c:pt idx="1022">
                  <c:v>42.9316375892119</c:v>
                </c:pt>
                <c:pt idx="1023">
                  <c:v>42.9256858248738</c:v>
                </c:pt>
                <c:pt idx="1024">
                  <c:v>42.9560402443441</c:v>
                </c:pt>
                <c:pt idx="1025">
                  <c:v>42.657988432185</c:v>
                </c:pt>
                <c:pt idx="1026">
                  <c:v>42.694773398887</c:v>
                </c:pt>
                <c:pt idx="1027">
                  <c:v>42.7437678634195</c:v>
                </c:pt>
                <c:pt idx="1028">
                  <c:v>42.7644402475274</c:v>
                </c:pt>
                <c:pt idx="1029">
                  <c:v>42.693163309856</c:v>
                </c:pt>
                <c:pt idx="1030">
                  <c:v>42.6684799554093</c:v>
                </c:pt>
                <c:pt idx="1031">
                  <c:v>42.6051402172872</c:v>
                </c:pt>
                <c:pt idx="1032">
                  <c:v>42.7010487512331</c:v>
                </c:pt>
                <c:pt idx="1033">
                  <c:v>42.663753422847</c:v>
                </c:pt>
                <c:pt idx="1034">
                  <c:v>42.6726375784189</c:v>
                </c:pt>
                <c:pt idx="1035">
                  <c:v>42.6808075151235</c:v>
                </c:pt>
                <c:pt idx="1036">
                  <c:v>42.7215350883712</c:v>
                </c:pt>
                <c:pt idx="1037">
                  <c:v>42.7311242608539</c:v>
                </c:pt>
                <c:pt idx="1038">
                  <c:v>42.713768411139</c:v>
                </c:pt>
                <c:pt idx="1039">
                  <c:v>42.8239231555568</c:v>
                </c:pt>
                <c:pt idx="1040">
                  <c:v>42.7499404070432</c:v>
                </c:pt>
                <c:pt idx="1041">
                  <c:v>42.8003012665534</c:v>
                </c:pt>
                <c:pt idx="1042">
                  <c:v>42.7508868953969</c:v>
                </c:pt>
                <c:pt idx="1043">
                  <c:v>42.9364277211953</c:v>
                </c:pt>
                <c:pt idx="1044">
                  <c:v>42.9217983720085</c:v>
                </c:pt>
                <c:pt idx="1045">
                  <c:v>42.9509146093692</c:v>
                </c:pt>
                <c:pt idx="1046">
                  <c:v>42.9346714551264</c:v>
                </c:pt>
                <c:pt idx="1047">
                  <c:v>42.9398616902548</c:v>
                </c:pt>
                <c:pt idx="1048">
                  <c:v>42.9349062298114</c:v>
                </c:pt>
                <c:pt idx="1049">
                  <c:v>42.9402819146851</c:v>
                </c:pt>
                <c:pt idx="1050">
                  <c:v>42.9297427587396</c:v>
                </c:pt>
                <c:pt idx="1051">
                  <c:v>43.7914419876525</c:v>
                </c:pt>
                <c:pt idx="1052">
                  <c:v>43.8059965316163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090581"/>
        <c:axId val="92438347"/>
      </c:lineChart>
      <c:lineChart>
        <c:grouping val="standard"/>
        <c:varyColors val="0"/>
        <c:ser>
          <c:idx val="1"/>
          <c:order val="1"/>
          <c:tx>
            <c:strRef>
              <c:f>'Sales Master'!D1</c:f>
              <c:strCache>
                <c:ptCount val="1"/>
                <c:pt idx="0">
                  <c:v>Quantity Sold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Master'!$A$2:$A$1054</c:f>
              <c:strCache>
                <c:ptCount val="1053"/>
                <c:pt idx="0">
                  <c:v>2013-12-30</c:v>
                </c:pt>
                <c:pt idx="1">
                  <c:v>2013-12-31</c:v>
                </c:pt>
                <c:pt idx="2">
                  <c:v>2014-01-01</c:v>
                </c:pt>
                <c:pt idx="3">
                  <c:v>2014-01-02</c:v>
                </c:pt>
                <c:pt idx="4">
                  <c:v>2014-01-03</c:v>
                </c:pt>
                <c:pt idx="5">
                  <c:v>2014-01-04</c:v>
                </c:pt>
                <c:pt idx="6">
                  <c:v>2014-01-05</c:v>
                </c:pt>
                <c:pt idx="7">
                  <c:v>2014-01-06</c:v>
                </c:pt>
                <c:pt idx="8">
                  <c:v>2014-01-07</c:v>
                </c:pt>
                <c:pt idx="9">
                  <c:v>2014-01-08</c:v>
                </c:pt>
                <c:pt idx="10">
                  <c:v>2014-01-09</c:v>
                </c:pt>
                <c:pt idx="11">
                  <c:v>2014-01-10</c:v>
                </c:pt>
                <c:pt idx="12">
                  <c:v>2014-01-11</c:v>
                </c:pt>
                <c:pt idx="13">
                  <c:v>2014-01-12</c:v>
                </c:pt>
                <c:pt idx="14">
                  <c:v>2014-01-13</c:v>
                </c:pt>
                <c:pt idx="15">
                  <c:v>2014-01-14</c:v>
                </c:pt>
                <c:pt idx="16">
                  <c:v>2014-01-15</c:v>
                </c:pt>
                <c:pt idx="17">
                  <c:v>2014-01-16</c:v>
                </c:pt>
                <c:pt idx="18">
                  <c:v>2014-01-17</c:v>
                </c:pt>
                <c:pt idx="19">
                  <c:v>2014-01-18</c:v>
                </c:pt>
                <c:pt idx="20">
                  <c:v>2014-01-19</c:v>
                </c:pt>
                <c:pt idx="21">
                  <c:v>2014-01-20</c:v>
                </c:pt>
                <c:pt idx="22">
                  <c:v>2014-01-21</c:v>
                </c:pt>
                <c:pt idx="23">
                  <c:v>2014-01-22</c:v>
                </c:pt>
                <c:pt idx="24">
                  <c:v>2014-01-23</c:v>
                </c:pt>
                <c:pt idx="25">
                  <c:v>2014-01-24</c:v>
                </c:pt>
                <c:pt idx="26">
                  <c:v>2014-01-25</c:v>
                </c:pt>
                <c:pt idx="27">
                  <c:v>2014-01-26</c:v>
                </c:pt>
                <c:pt idx="28">
                  <c:v>2014-01-27</c:v>
                </c:pt>
                <c:pt idx="29">
                  <c:v>2014-01-28</c:v>
                </c:pt>
                <c:pt idx="30">
                  <c:v>2014-01-29</c:v>
                </c:pt>
                <c:pt idx="31">
                  <c:v>2014-01-30</c:v>
                </c:pt>
                <c:pt idx="32">
                  <c:v>2014-01-31</c:v>
                </c:pt>
                <c:pt idx="33">
                  <c:v>2014-02-01</c:v>
                </c:pt>
                <c:pt idx="34">
                  <c:v>2014-02-02</c:v>
                </c:pt>
                <c:pt idx="35">
                  <c:v>2014-02-03</c:v>
                </c:pt>
                <c:pt idx="36">
                  <c:v>2014-02-04</c:v>
                </c:pt>
                <c:pt idx="37">
                  <c:v>2014-02-05</c:v>
                </c:pt>
                <c:pt idx="38">
                  <c:v>2014-02-06</c:v>
                </c:pt>
                <c:pt idx="39">
                  <c:v>2014-02-07</c:v>
                </c:pt>
                <c:pt idx="40">
                  <c:v>2014-02-08</c:v>
                </c:pt>
                <c:pt idx="41">
                  <c:v>2014-02-09</c:v>
                </c:pt>
                <c:pt idx="42">
                  <c:v>2014-02-10</c:v>
                </c:pt>
                <c:pt idx="43">
                  <c:v>2014-02-11</c:v>
                </c:pt>
                <c:pt idx="44">
                  <c:v>2014-02-12</c:v>
                </c:pt>
                <c:pt idx="45">
                  <c:v>2014-02-13</c:v>
                </c:pt>
                <c:pt idx="46">
                  <c:v>2014-02-14</c:v>
                </c:pt>
                <c:pt idx="47">
                  <c:v>2014-02-15</c:v>
                </c:pt>
                <c:pt idx="48">
                  <c:v>2014-02-16</c:v>
                </c:pt>
                <c:pt idx="49">
                  <c:v>2014-02-17</c:v>
                </c:pt>
                <c:pt idx="50">
                  <c:v>2014-02-18</c:v>
                </c:pt>
                <c:pt idx="51">
                  <c:v>2014-02-19</c:v>
                </c:pt>
                <c:pt idx="52">
                  <c:v>2014-02-20</c:v>
                </c:pt>
                <c:pt idx="53">
                  <c:v>2014-02-21</c:v>
                </c:pt>
                <c:pt idx="54">
                  <c:v>2014-02-22</c:v>
                </c:pt>
                <c:pt idx="55">
                  <c:v>2014-02-23</c:v>
                </c:pt>
                <c:pt idx="56">
                  <c:v>2014-02-24</c:v>
                </c:pt>
                <c:pt idx="57">
                  <c:v>2014-02-25</c:v>
                </c:pt>
                <c:pt idx="58">
                  <c:v>2014-02-26</c:v>
                </c:pt>
                <c:pt idx="59">
                  <c:v>2014-02-27</c:v>
                </c:pt>
                <c:pt idx="60">
                  <c:v>2014-02-28</c:v>
                </c:pt>
                <c:pt idx="61">
                  <c:v>2014-03-01</c:v>
                </c:pt>
                <c:pt idx="62">
                  <c:v>2014-03-02</c:v>
                </c:pt>
                <c:pt idx="63">
                  <c:v>2014-03-03</c:v>
                </c:pt>
                <c:pt idx="64">
                  <c:v>2014-03-04</c:v>
                </c:pt>
                <c:pt idx="65">
                  <c:v>2014-03-05</c:v>
                </c:pt>
                <c:pt idx="66">
                  <c:v>2014-03-06</c:v>
                </c:pt>
                <c:pt idx="67">
                  <c:v>2014-03-07</c:v>
                </c:pt>
                <c:pt idx="68">
                  <c:v>2014-03-08</c:v>
                </c:pt>
                <c:pt idx="69">
                  <c:v>2014-03-09</c:v>
                </c:pt>
                <c:pt idx="70">
                  <c:v>2014-03-10</c:v>
                </c:pt>
                <c:pt idx="71">
                  <c:v>2014-03-11</c:v>
                </c:pt>
                <c:pt idx="72">
                  <c:v>2014-03-12</c:v>
                </c:pt>
                <c:pt idx="73">
                  <c:v>2014-03-13</c:v>
                </c:pt>
                <c:pt idx="74">
                  <c:v>2014-03-14</c:v>
                </c:pt>
                <c:pt idx="75">
                  <c:v>2014-03-15</c:v>
                </c:pt>
                <c:pt idx="76">
                  <c:v>2014-03-16</c:v>
                </c:pt>
                <c:pt idx="77">
                  <c:v>2014-03-17</c:v>
                </c:pt>
                <c:pt idx="78">
                  <c:v>2014-03-18</c:v>
                </c:pt>
                <c:pt idx="79">
                  <c:v>2014-03-19</c:v>
                </c:pt>
                <c:pt idx="80">
                  <c:v>2014-03-20</c:v>
                </c:pt>
                <c:pt idx="81">
                  <c:v>2014-03-21</c:v>
                </c:pt>
                <c:pt idx="82">
                  <c:v>2014-03-22</c:v>
                </c:pt>
                <c:pt idx="83">
                  <c:v>2014-03-23</c:v>
                </c:pt>
                <c:pt idx="84">
                  <c:v>2014-03-24</c:v>
                </c:pt>
                <c:pt idx="85">
                  <c:v>2014-03-25</c:v>
                </c:pt>
                <c:pt idx="86">
                  <c:v>2014-03-26</c:v>
                </c:pt>
                <c:pt idx="87">
                  <c:v>2014-03-27</c:v>
                </c:pt>
                <c:pt idx="88">
                  <c:v>2014-03-28</c:v>
                </c:pt>
                <c:pt idx="89">
                  <c:v>2014-03-29</c:v>
                </c:pt>
                <c:pt idx="90">
                  <c:v>2014-03-30</c:v>
                </c:pt>
                <c:pt idx="91">
                  <c:v>2014-03-31</c:v>
                </c:pt>
                <c:pt idx="92">
                  <c:v>2014-04-01</c:v>
                </c:pt>
                <c:pt idx="93">
                  <c:v>2014-04-02</c:v>
                </c:pt>
                <c:pt idx="94">
                  <c:v>2014-04-03</c:v>
                </c:pt>
                <c:pt idx="95">
                  <c:v>2014-04-04</c:v>
                </c:pt>
                <c:pt idx="96">
                  <c:v>2014-04-05</c:v>
                </c:pt>
                <c:pt idx="97">
                  <c:v>2014-04-06</c:v>
                </c:pt>
                <c:pt idx="98">
                  <c:v>2014-04-07</c:v>
                </c:pt>
                <c:pt idx="99">
                  <c:v>2014-04-08</c:v>
                </c:pt>
                <c:pt idx="100">
                  <c:v>2014-04-09</c:v>
                </c:pt>
                <c:pt idx="101">
                  <c:v>2014-04-10</c:v>
                </c:pt>
                <c:pt idx="102">
                  <c:v>2014-04-11</c:v>
                </c:pt>
                <c:pt idx="103">
                  <c:v>2014-04-12</c:v>
                </c:pt>
                <c:pt idx="104">
                  <c:v>2014-04-13</c:v>
                </c:pt>
                <c:pt idx="105">
                  <c:v>2014-04-14</c:v>
                </c:pt>
                <c:pt idx="106">
                  <c:v>2014-04-15</c:v>
                </c:pt>
                <c:pt idx="107">
                  <c:v>2014-04-16</c:v>
                </c:pt>
                <c:pt idx="108">
                  <c:v>2014-04-17</c:v>
                </c:pt>
                <c:pt idx="109">
                  <c:v>2014-04-18</c:v>
                </c:pt>
                <c:pt idx="110">
                  <c:v>2014-04-19</c:v>
                </c:pt>
                <c:pt idx="111">
                  <c:v>2014-04-20</c:v>
                </c:pt>
                <c:pt idx="112">
                  <c:v>2014-04-21</c:v>
                </c:pt>
                <c:pt idx="113">
                  <c:v>2014-04-22</c:v>
                </c:pt>
                <c:pt idx="114">
                  <c:v>2014-04-23</c:v>
                </c:pt>
                <c:pt idx="115">
                  <c:v>2014-04-24</c:v>
                </c:pt>
                <c:pt idx="116">
                  <c:v>2014-04-25</c:v>
                </c:pt>
                <c:pt idx="117">
                  <c:v>2014-04-26</c:v>
                </c:pt>
                <c:pt idx="118">
                  <c:v>2014-04-27</c:v>
                </c:pt>
                <c:pt idx="119">
                  <c:v>2014-04-28</c:v>
                </c:pt>
                <c:pt idx="120">
                  <c:v>2014-04-29</c:v>
                </c:pt>
                <c:pt idx="121">
                  <c:v>2014-04-30</c:v>
                </c:pt>
                <c:pt idx="122">
                  <c:v>2014-05-01</c:v>
                </c:pt>
                <c:pt idx="123">
                  <c:v>2014-05-02</c:v>
                </c:pt>
                <c:pt idx="124">
                  <c:v>2014-05-03</c:v>
                </c:pt>
                <c:pt idx="125">
                  <c:v>2014-05-04</c:v>
                </c:pt>
                <c:pt idx="126">
                  <c:v>2014-05-05</c:v>
                </c:pt>
                <c:pt idx="127">
                  <c:v>2014-05-06</c:v>
                </c:pt>
                <c:pt idx="128">
                  <c:v>2014-05-07</c:v>
                </c:pt>
                <c:pt idx="129">
                  <c:v>2014-05-08</c:v>
                </c:pt>
                <c:pt idx="130">
                  <c:v>2014-05-09</c:v>
                </c:pt>
                <c:pt idx="131">
                  <c:v>2014-05-10</c:v>
                </c:pt>
                <c:pt idx="132">
                  <c:v>2014-05-11</c:v>
                </c:pt>
                <c:pt idx="133">
                  <c:v>2014-05-12</c:v>
                </c:pt>
                <c:pt idx="134">
                  <c:v>2014-05-13</c:v>
                </c:pt>
                <c:pt idx="135">
                  <c:v>2014-05-14</c:v>
                </c:pt>
                <c:pt idx="136">
                  <c:v>2014-05-15</c:v>
                </c:pt>
                <c:pt idx="137">
                  <c:v>2014-05-16</c:v>
                </c:pt>
                <c:pt idx="138">
                  <c:v>2014-05-17</c:v>
                </c:pt>
                <c:pt idx="139">
                  <c:v>2014-05-18</c:v>
                </c:pt>
                <c:pt idx="140">
                  <c:v>2014-05-19</c:v>
                </c:pt>
                <c:pt idx="141">
                  <c:v>2014-05-20</c:v>
                </c:pt>
                <c:pt idx="142">
                  <c:v>2014-05-21</c:v>
                </c:pt>
                <c:pt idx="143">
                  <c:v>2014-05-22</c:v>
                </c:pt>
                <c:pt idx="144">
                  <c:v>2014-05-23</c:v>
                </c:pt>
                <c:pt idx="145">
                  <c:v>2014-05-24</c:v>
                </c:pt>
                <c:pt idx="146">
                  <c:v>2014-05-25</c:v>
                </c:pt>
                <c:pt idx="147">
                  <c:v>2014-05-26</c:v>
                </c:pt>
                <c:pt idx="148">
                  <c:v>2014-05-27</c:v>
                </c:pt>
                <c:pt idx="149">
                  <c:v>2014-05-28</c:v>
                </c:pt>
                <c:pt idx="150">
                  <c:v>2014-05-29</c:v>
                </c:pt>
                <c:pt idx="151">
                  <c:v>2014-05-30</c:v>
                </c:pt>
                <c:pt idx="152">
                  <c:v>2014-05-31</c:v>
                </c:pt>
                <c:pt idx="153">
                  <c:v>2014-06-01</c:v>
                </c:pt>
                <c:pt idx="154">
                  <c:v>2014-06-02</c:v>
                </c:pt>
                <c:pt idx="155">
                  <c:v>2014-06-03</c:v>
                </c:pt>
                <c:pt idx="156">
                  <c:v>2014-06-04</c:v>
                </c:pt>
                <c:pt idx="157">
                  <c:v>2014-06-05</c:v>
                </c:pt>
                <c:pt idx="158">
                  <c:v>2014-06-06</c:v>
                </c:pt>
                <c:pt idx="159">
                  <c:v>2014-06-07</c:v>
                </c:pt>
                <c:pt idx="160">
                  <c:v>2014-06-08</c:v>
                </c:pt>
                <c:pt idx="161">
                  <c:v>2014-06-09</c:v>
                </c:pt>
                <c:pt idx="162">
                  <c:v>2014-06-10</c:v>
                </c:pt>
                <c:pt idx="163">
                  <c:v>2014-06-11</c:v>
                </c:pt>
                <c:pt idx="164">
                  <c:v>2014-06-12</c:v>
                </c:pt>
                <c:pt idx="165">
                  <c:v>2014-06-13</c:v>
                </c:pt>
                <c:pt idx="166">
                  <c:v>2014-06-14</c:v>
                </c:pt>
                <c:pt idx="167">
                  <c:v>2014-06-15</c:v>
                </c:pt>
                <c:pt idx="168">
                  <c:v>2014-06-16</c:v>
                </c:pt>
                <c:pt idx="169">
                  <c:v>2014-06-17</c:v>
                </c:pt>
                <c:pt idx="170">
                  <c:v>2014-06-18</c:v>
                </c:pt>
                <c:pt idx="171">
                  <c:v>2014-06-19</c:v>
                </c:pt>
                <c:pt idx="172">
                  <c:v>2014-06-20</c:v>
                </c:pt>
                <c:pt idx="173">
                  <c:v>2014-06-21</c:v>
                </c:pt>
                <c:pt idx="174">
                  <c:v>2014-06-22</c:v>
                </c:pt>
                <c:pt idx="175">
                  <c:v>2014-06-23</c:v>
                </c:pt>
                <c:pt idx="176">
                  <c:v>2014-06-24</c:v>
                </c:pt>
                <c:pt idx="177">
                  <c:v>2014-06-25</c:v>
                </c:pt>
                <c:pt idx="178">
                  <c:v>2014-06-26</c:v>
                </c:pt>
                <c:pt idx="179">
                  <c:v>2014-06-27</c:v>
                </c:pt>
                <c:pt idx="180">
                  <c:v>2014-06-28</c:v>
                </c:pt>
                <c:pt idx="181">
                  <c:v>2014-06-29</c:v>
                </c:pt>
                <c:pt idx="182">
                  <c:v>2014-06-30</c:v>
                </c:pt>
                <c:pt idx="183">
                  <c:v>2014-07-01</c:v>
                </c:pt>
                <c:pt idx="184">
                  <c:v>2014-07-02</c:v>
                </c:pt>
                <c:pt idx="185">
                  <c:v>2014-07-03</c:v>
                </c:pt>
                <c:pt idx="186">
                  <c:v>2014-07-04</c:v>
                </c:pt>
                <c:pt idx="187">
                  <c:v>2014-07-05</c:v>
                </c:pt>
                <c:pt idx="188">
                  <c:v>2014-07-06</c:v>
                </c:pt>
                <c:pt idx="189">
                  <c:v>2014-07-07</c:v>
                </c:pt>
                <c:pt idx="190">
                  <c:v>2014-07-08</c:v>
                </c:pt>
                <c:pt idx="191">
                  <c:v>2014-07-09</c:v>
                </c:pt>
                <c:pt idx="192">
                  <c:v>2014-07-10</c:v>
                </c:pt>
                <c:pt idx="193">
                  <c:v>2014-07-11</c:v>
                </c:pt>
                <c:pt idx="194">
                  <c:v>2014-07-12</c:v>
                </c:pt>
                <c:pt idx="195">
                  <c:v>2014-07-13</c:v>
                </c:pt>
                <c:pt idx="196">
                  <c:v>2014-07-14</c:v>
                </c:pt>
                <c:pt idx="197">
                  <c:v>2014-07-15</c:v>
                </c:pt>
                <c:pt idx="198">
                  <c:v>2014-07-16</c:v>
                </c:pt>
                <c:pt idx="199">
                  <c:v>2014-07-17</c:v>
                </c:pt>
                <c:pt idx="200">
                  <c:v>2014-07-18</c:v>
                </c:pt>
                <c:pt idx="201">
                  <c:v>2014-07-19</c:v>
                </c:pt>
                <c:pt idx="202">
                  <c:v>2014-07-20</c:v>
                </c:pt>
                <c:pt idx="203">
                  <c:v>2014-07-21</c:v>
                </c:pt>
                <c:pt idx="204">
                  <c:v>2014-07-22</c:v>
                </c:pt>
                <c:pt idx="205">
                  <c:v>2014-07-23</c:v>
                </c:pt>
                <c:pt idx="206">
                  <c:v>2014-07-24</c:v>
                </c:pt>
                <c:pt idx="207">
                  <c:v>2014-07-25</c:v>
                </c:pt>
                <c:pt idx="208">
                  <c:v>2014-07-26</c:v>
                </c:pt>
                <c:pt idx="209">
                  <c:v>2014-07-27</c:v>
                </c:pt>
                <c:pt idx="210">
                  <c:v>2014-07-28</c:v>
                </c:pt>
                <c:pt idx="211">
                  <c:v>2014-07-29</c:v>
                </c:pt>
                <c:pt idx="212">
                  <c:v>2014-07-30</c:v>
                </c:pt>
                <c:pt idx="213">
                  <c:v>2014-07-31</c:v>
                </c:pt>
                <c:pt idx="214">
                  <c:v>2014-08-01</c:v>
                </c:pt>
                <c:pt idx="215">
                  <c:v>2014-08-02</c:v>
                </c:pt>
                <c:pt idx="216">
                  <c:v>2014-08-03</c:v>
                </c:pt>
                <c:pt idx="217">
                  <c:v>2014-08-04</c:v>
                </c:pt>
                <c:pt idx="218">
                  <c:v>2014-08-05</c:v>
                </c:pt>
                <c:pt idx="219">
                  <c:v>2014-08-06</c:v>
                </c:pt>
                <c:pt idx="220">
                  <c:v>2014-08-07</c:v>
                </c:pt>
                <c:pt idx="221">
                  <c:v>2014-08-08</c:v>
                </c:pt>
                <c:pt idx="222">
                  <c:v>2014-08-09</c:v>
                </c:pt>
                <c:pt idx="223">
                  <c:v>2014-08-10</c:v>
                </c:pt>
                <c:pt idx="224">
                  <c:v>2014-08-11</c:v>
                </c:pt>
                <c:pt idx="225">
                  <c:v>2014-08-12</c:v>
                </c:pt>
                <c:pt idx="226">
                  <c:v>2014-08-13</c:v>
                </c:pt>
                <c:pt idx="227">
                  <c:v>2014-08-14</c:v>
                </c:pt>
                <c:pt idx="228">
                  <c:v>2014-08-15</c:v>
                </c:pt>
                <c:pt idx="229">
                  <c:v>2014-08-16</c:v>
                </c:pt>
                <c:pt idx="230">
                  <c:v>2014-08-17</c:v>
                </c:pt>
                <c:pt idx="231">
                  <c:v>2014-08-18</c:v>
                </c:pt>
                <c:pt idx="232">
                  <c:v>2014-08-19</c:v>
                </c:pt>
                <c:pt idx="233">
                  <c:v>2014-08-20</c:v>
                </c:pt>
                <c:pt idx="234">
                  <c:v>2014-08-21</c:v>
                </c:pt>
                <c:pt idx="235">
                  <c:v>2014-08-22</c:v>
                </c:pt>
                <c:pt idx="236">
                  <c:v>2014-08-23</c:v>
                </c:pt>
                <c:pt idx="237">
                  <c:v>2014-08-24</c:v>
                </c:pt>
                <c:pt idx="238">
                  <c:v>2014-08-25</c:v>
                </c:pt>
                <c:pt idx="239">
                  <c:v>2014-08-26</c:v>
                </c:pt>
                <c:pt idx="240">
                  <c:v>2014-08-27</c:v>
                </c:pt>
                <c:pt idx="241">
                  <c:v>2014-08-28</c:v>
                </c:pt>
                <c:pt idx="242">
                  <c:v>2014-08-29</c:v>
                </c:pt>
                <c:pt idx="243">
                  <c:v>2014-08-30</c:v>
                </c:pt>
                <c:pt idx="244">
                  <c:v>2014-08-31</c:v>
                </c:pt>
                <c:pt idx="245">
                  <c:v>2014-09-01</c:v>
                </c:pt>
                <c:pt idx="246">
                  <c:v>2014-09-02</c:v>
                </c:pt>
                <c:pt idx="247">
                  <c:v>2014-09-03</c:v>
                </c:pt>
                <c:pt idx="248">
                  <c:v>2014-09-04</c:v>
                </c:pt>
                <c:pt idx="249">
                  <c:v>2014-09-05</c:v>
                </c:pt>
                <c:pt idx="250">
                  <c:v>2014-09-06</c:v>
                </c:pt>
                <c:pt idx="251">
                  <c:v>2014-09-07</c:v>
                </c:pt>
                <c:pt idx="252">
                  <c:v>2014-09-08</c:v>
                </c:pt>
                <c:pt idx="253">
                  <c:v>2014-09-09</c:v>
                </c:pt>
                <c:pt idx="254">
                  <c:v>2014-09-10</c:v>
                </c:pt>
                <c:pt idx="255">
                  <c:v>2014-09-11</c:v>
                </c:pt>
                <c:pt idx="256">
                  <c:v>2014-09-12</c:v>
                </c:pt>
                <c:pt idx="257">
                  <c:v>2014-09-13</c:v>
                </c:pt>
                <c:pt idx="258">
                  <c:v>2014-09-14</c:v>
                </c:pt>
                <c:pt idx="259">
                  <c:v>2014-09-15</c:v>
                </c:pt>
                <c:pt idx="260">
                  <c:v>2014-09-16</c:v>
                </c:pt>
                <c:pt idx="261">
                  <c:v>2014-09-17</c:v>
                </c:pt>
                <c:pt idx="262">
                  <c:v>2014-09-18</c:v>
                </c:pt>
                <c:pt idx="263">
                  <c:v>2014-09-19</c:v>
                </c:pt>
                <c:pt idx="264">
                  <c:v>2014-09-20</c:v>
                </c:pt>
                <c:pt idx="265">
                  <c:v>2014-09-21</c:v>
                </c:pt>
                <c:pt idx="266">
                  <c:v>2014-09-22</c:v>
                </c:pt>
                <c:pt idx="267">
                  <c:v>2014-09-23</c:v>
                </c:pt>
                <c:pt idx="268">
                  <c:v>2014-09-24</c:v>
                </c:pt>
                <c:pt idx="269">
                  <c:v>2014-09-25</c:v>
                </c:pt>
                <c:pt idx="270">
                  <c:v>2014-09-26</c:v>
                </c:pt>
                <c:pt idx="271">
                  <c:v>2014-09-27</c:v>
                </c:pt>
                <c:pt idx="272">
                  <c:v>2014-09-28</c:v>
                </c:pt>
                <c:pt idx="273">
                  <c:v>2014-09-29</c:v>
                </c:pt>
                <c:pt idx="274">
                  <c:v>2014-09-30</c:v>
                </c:pt>
                <c:pt idx="275">
                  <c:v>2014-10-01</c:v>
                </c:pt>
                <c:pt idx="276">
                  <c:v>2014-10-02</c:v>
                </c:pt>
                <c:pt idx="277">
                  <c:v>2014-10-03</c:v>
                </c:pt>
                <c:pt idx="278">
                  <c:v>2014-10-04</c:v>
                </c:pt>
                <c:pt idx="279">
                  <c:v>2014-10-05</c:v>
                </c:pt>
                <c:pt idx="280">
                  <c:v>2014-10-06</c:v>
                </c:pt>
                <c:pt idx="281">
                  <c:v>2014-10-07</c:v>
                </c:pt>
                <c:pt idx="282">
                  <c:v>2014-10-08</c:v>
                </c:pt>
                <c:pt idx="283">
                  <c:v>2014-10-09</c:v>
                </c:pt>
                <c:pt idx="284">
                  <c:v>2014-10-10</c:v>
                </c:pt>
                <c:pt idx="285">
                  <c:v>2014-10-11</c:v>
                </c:pt>
                <c:pt idx="286">
                  <c:v>2014-10-12</c:v>
                </c:pt>
                <c:pt idx="287">
                  <c:v>2014-10-13</c:v>
                </c:pt>
                <c:pt idx="288">
                  <c:v>2014-10-14</c:v>
                </c:pt>
                <c:pt idx="289">
                  <c:v>2014-10-15</c:v>
                </c:pt>
                <c:pt idx="290">
                  <c:v>2014-10-16</c:v>
                </c:pt>
                <c:pt idx="291">
                  <c:v>2014-10-17</c:v>
                </c:pt>
                <c:pt idx="292">
                  <c:v>2014-10-18</c:v>
                </c:pt>
                <c:pt idx="293">
                  <c:v>2014-10-19</c:v>
                </c:pt>
                <c:pt idx="294">
                  <c:v>2014-10-20</c:v>
                </c:pt>
                <c:pt idx="295">
                  <c:v>2014-10-21</c:v>
                </c:pt>
                <c:pt idx="296">
                  <c:v>2014-10-22</c:v>
                </c:pt>
                <c:pt idx="297">
                  <c:v>2014-10-23</c:v>
                </c:pt>
                <c:pt idx="298">
                  <c:v>2014-10-24</c:v>
                </c:pt>
                <c:pt idx="299">
                  <c:v>2014-10-25</c:v>
                </c:pt>
                <c:pt idx="300">
                  <c:v>2014-10-26</c:v>
                </c:pt>
                <c:pt idx="301">
                  <c:v>2014-10-27</c:v>
                </c:pt>
                <c:pt idx="302">
                  <c:v>2014-10-28</c:v>
                </c:pt>
                <c:pt idx="303">
                  <c:v>2014-10-29</c:v>
                </c:pt>
                <c:pt idx="304">
                  <c:v>2014-10-30</c:v>
                </c:pt>
                <c:pt idx="305">
                  <c:v>2014-10-31</c:v>
                </c:pt>
                <c:pt idx="306">
                  <c:v>2014-11-01</c:v>
                </c:pt>
                <c:pt idx="307">
                  <c:v>2014-11-02</c:v>
                </c:pt>
                <c:pt idx="308">
                  <c:v>2014-11-03</c:v>
                </c:pt>
                <c:pt idx="309">
                  <c:v>2014-11-04</c:v>
                </c:pt>
                <c:pt idx="310">
                  <c:v>2014-11-05</c:v>
                </c:pt>
                <c:pt idx="311">
                  <c:v>2014-11-06</c:v>
                </c:pt>
                <c:pt idx="312">
                  <c:v>2014-11-07</c:v>
                </c:pt>
                <c:pt idx="313">
                  <c:v>2014-11-08</c:v>
                </c:pt>
                <c:pt idx="314">
                  <c:v>2014-11-09</c:v>
                </c:pt>
                <c:pt idx="315">
                  <c:v>2014-11-10</c:v>
                </c:pt>
                <c:pt idx="316">
                  <c:v>2014-11-11</c:v>
                </c:pt>
                <c:pt idx="317">
                  <c:v>2014-11-12</c:v>
                </c:pt>
                <c:pt idx="318">
                  <c:v>2014-11-13</c:v>
                </c:pt>
                <c:pt idx="319">
                  <c:v>2014-11-14</c:v>
                </c:pt>
                <c:pt idx="320">
                  <c:v>2014-11-15</c:v>
                </c:pt>
                <c:pt idx="321">
                  <c:v>2014-11-16</c:v>
                </c:pt>
                <c:pt idx="322">
                  <c:v>2014-11-17</c:v>
                </c:pt>
                <c:pt idx="323">
                  <c:v>2014-11-18</c:v>
                </c:pt>
                <c:pt idx="324">
                  <c:v>2014-11-19</c:v>
                </c:pt>
                <c:pt idx="325">
                  <c:v>2014-11-20</c:v>
                </c:pt>
                <c:pt idx="326">
                  <c:v>2014-11-21</c:v>
                </c:pt>
                <c:pt idx="327">
                  <c:v>2014-11-22</c:v>
                </c:pt>
                <c:pt idx="328">
                  <c:v>2014-11-23</c:v>
                </c:pt>
                <c:pt idx="329">
                  <c:v>2014-11-24</c:v>
                </c:pt>
                <c:pt idx="330">
                  <c:v>2014-11-25</c:v>
                </c:pt>
                <c:pt idx="331">
                  <c:v>2014-11-26</c:v>
                </c:pt>
                <c:pt idx="332">
                  <c:v>2014-11-27</c:v>
                </c:pt>
                <c:pt idx="333">
                  <c:v>2014-11-28</c:v>
                </c:pt>
                <c:pt idx="334">
                  <c:v>2014-11-29</c:v>
                </c:pt>
                <c:pt idx="335">
                  <c:v>2014-11-30</c:v>
                </c:pt>
                <c:pt idx="336">
                  <c:v>2014-12-01</c:v>
                </c:pt>
                <c:pt idx="337">
                  <c:v>2014-12-02</c:v>
                </c:pt>
                <c:pt idx="338">
                  <c:v>2014-12-03</c:v>
                </c:pt>
                <c:pt idx="339">
                  <c:v>2014-12-04</c:v>
                </c:pt>
                <c:pt idx="340">
                  <c:v>2014-12-05</c:v>
                </c:pt>
                <c:pt idx="341">
                  <c:v>2014-12-06</c:v>
                </c:pt>
                <c:pt idx="342">
                  <c:v>2014-12-07</c:v>
                </c:pt>
                <c:pt idx="343">
                  <c:v>2014-12-08</c:v>
                </c:pt>
                <c:pt idx="344">
                  <c:v>2014-12-09</c:v>
                </c:pt>
                <c:pt idx="345">
                  <c:v>2014-12-10</c:v>
                </c:pt>
                <c:pt idx="346">
                  <c:v>2014-12-11</c:v>
                </c:pt>
                <c:pt idx="347">
                  <c:v>2014-12-12</c:v>
                </c:pt>
                <c:pt idx="348">
                  <c:v>2014-12-13</c:v>
                </c:pt>
                <c:pt idx="349">
                  <c:v>2014-12-14</c:v>
                </c:pt>
                <c:pt idx="350">
                  <c:v>2014-12-15</c:v>
                </c:pt>
                <c:pt idx="351">
                  <c:v>2014-12-16</c:v>
                </c:pt>
                <c:pt idx="352">
                  <c:v>2014-12-17</c:v>
                </c:pt>
                <c:pt idx="353">
                  <c:v>2014-12-18</c:v>
                </c:pt>
                <c:pt idx="354">
                  <c:v>2014-12-19</c:v>
                </c:pt>
                <c:pt idx="355">
                  <c:v>2014-12-20</c:v>
                </c:pt>
                <c:pt idx="356">
                  <c:v>2014-12-21</c:v>
                </c:pt>
                <c:pt idx="357">
                  <c:v>2014-12-22</c:v>
                </c:pt>
                <c:pt idx="358">
                  <c:v>2014-12-23</c:v>
                </c:pt>
                <c:pt idx="359">
                  <c:v>2014-12-24</c:v>
                </c:pt>
                <c:pt idx="360">
                  <c:v>2014-12-25</c:v>
                </c:pt>
                <c:pt idx="361">
                  <c:v>2014-12-26</c:v>
                </c:pt>
                <c:pt idx="362">
                  <c:v>2014-12-27</c:v>
                </c:pt>
                <c:pt idx="363">
                  <c:v>2014-12-28</c:v>
                </c:pt>
                <c:pt idx="364">
                  <c:v>2014-12-29</c:v>
                </c:pt>
                <c:pt idx="365">
                  <c:v>2014-12-30</c:v>
                </c:pt>
                <c:pt idx="366">
                  <c:v>2014-12-31</c:v>
                </c:pt>
                <c:pt idx="367">
                  <c:v>2015-01-01</c:v>
                </c:pt>
                <c:pt idx="368">
                  <c:v>2015-01-02</c:v>
                </c:pt>
                <c:pt idx="369">
                  <c:v>2015-01-03</c:v>
                </c:pt>
                <c:pt idx="370">
                  <c:v>2015-01-04</c:v>
                </c:pt>
                <c:pt idx="371">
                  <c:v>2015-01-05</c:v>
                </c:pt>
                <c:pt idx="372">
                  <c:v>2015-01-06</c:v>
                </c:pt>
                <c:pt idx="373">
                  <c:v>2015-01-07</c:v>
                </c:pt>
                <c:pt idx="374">
                  <c:v>2015-01-08</c:v>
                </c:pt>
                <c:pt idx="375">
                  <c:v>2015-01-09</c:v>
                </c:pt>
                <c:pt idx="376">
                  <c:v>2015-01-10</c:v>
                </c:pt>
                <c:pt idx="377">
                  <c:v>2015-01-11</c:v>
                </c:pt>
                <c:pt idx="378">
                  <c:v>2015-01-12</c:v>
                </c:pt>
                <c:pt idx="379">
                  <c:v>2015-01-13</c:v>
                </c:pt>
                <c:pt idx="380">
                  <c:v>2015-01-14</c:v>
                </c:pt>
                <c:pt idx="381">
                  <c:v>2015-01-15</c:v>
                </c:pt>
                <c:pt idx="382">
                  <c:v>2015-01-16</c:v>
                </c:pt>
                <c:pt idx="383">
                  <c:v>2015-01-17</c:v>
                </c:pt>
                <c:pt idx="384">
                  <c:v>2015-01-18</c:v>
                </c:pt>
                <c:pt idx="385">
                  <c:v>2015-01-19</c:v>
                </c:pt>
                <c:pt idx="386">
                  <c:v>2015-01-20</c:v>
                </c:pt>
                <c:pt idx="387">
                  <c:v>2015-01-21</c:v>
                </c:pt>
                <c:pt idx="388">
                  <c:v>2015-01-22</c:v>
                </c:pt>
                <c:pt idx="389">
                  <c:v>2015-01-23</c:v>
                </c:pt>
                <c:pt idx="390">
                  <c:v>2015-01-24</c:v>
                </c:pt>
                <c:pt idx="391">
                  <c:v>2015-01-25</c:v>
                </c:pt>
                <c:pt idx="392">
                  <c:v>2015-01-26</c:v>
                </c:pt>
                <c:pt idx="393">
                  <c:v>2015-01-27</c:v>
                </c:pt>
                <c:pt idx="394">
                  <c:v>2015-01-28</c:v>
                </c:pt>
                <c:pt idx="395">
                  <c:v>2015-01-29</c:v>
                </c:pt>
                <c:pt idx="396">
                  <c:v>2015-01-30</c:v>
                </c:pt>
                <c:pt idx="397">
                  <c:v>2015-01-31</c:v>
                </c:pt>
                <c:pt idx="398">
                  <c:v>2015-02-01</c:v>
                </c:pt>
                <c:pt idx="399">
                  <c:v>2015-02-02</c:v>
                </c:pt>
                <c:pt idx="400">
                  <c:v>2015-02-03</c:v>
                </c:pt>
                <c:pt idx="401">
                  <c:v>2015-02-04</c:v>
                </c:pt>
                <c:pt idx="402">
                  <c:v>2015-02-05</c:v>
                </c:pt>
                <c:pt idx="403">
                  <c:v>2015-02-06</c:v>
                </c:pt>
                <c:pt idx="404">
                  <c:v>2015-02-07</c:v>
                </c:pt>
                <c:pt idx="405">
                  <c:v>2015-02-08</c:v>
                </c:pt>
                <c:pt idx="406">
                  <c:v>2015-02-09</c:v>
                </c:pt>
                <c:pt idx="407">
                  <c:v>2015-02-10</c:v>
                </c:pt>
                <c:pt idx="408">
                  <c:v>2015-02-11</c:v>
                </c:pt>
                <c:pt idx="409">
                  <c:v>2015-02-12</c:v>
                </c:pt>
                <c:pt idx="410">
                  <c:v>2015-02-13</c:v>
                </c:pt>
                <c:pt idx="411">
                  <c:v>2015-02-14</c:v>
                </c:pt>
                <c:pt idx="412">
                  <c:v>2015-02-15</c:v>
                </c:pt>
                <c:pt idx="413">
                  <c:v>2015-02-16</c:v>
                </c:pt>
                <c:pt idx="414">
                  <c:v>2015-02-17</c:v>
                </c:pt>
                <c:pt idx="415">
                  <c:v>2015-02-18</c:v>
                </c:pt>
                <c:pt idx="416">
                  <c:v>2015-02-19</c:v>
                </c:pt>
                <c:pt idx="417">
                  <c:v>2015-02-20</c:v>
                </c:pt>
                <c:pt idx="418">
                  <c:v>2015-02-21</c:v>
                </c:pt>
                <c:pt idx="419">
                  <c:v>2015-02-22</c:v>
                </c:pt>
                <c:pt idx="420">
                  <c:v>2015-02-23</c:v>
                </c:pt>
                <c:pt idx="421">
                  <c:v>2015-02-24</c:v>
                </c:pt>
                <c:pt idx="422">
                  <c:v>2015-02-25</c:v>
                </c:pt>
                <c:pt idx="423">
                  <c:v>2015-02-26</c:v>
                </c:pt>
                <c:pt idx="424">
                  <c:v>2015-02-27</c:v>
                </c:pt>
                <c:pt idx="425">
                  <c:v>2015-02-28</c:v>
                </c:pt>
                <c:pt idx="426">
                  <c:v>2015-03-01</c:v>
                </c:pt>
                <c:pt idx="427">
                  <c:v>2015-03-02</c:v>
                </c:pt>
                <c:pt idx="428">
                  <c:v>2015-03-03</c:v>
                </c:pt>
                <c:pt idx="429">
                  <c:v>2015-03-04</c:v>
                </c:pt>
                <c:pt idx="430">
                  <c:v>2015-03-05</c:v>
                </c:pt>
                <c:pt idx="431">
                  <c:v>2015-03-06</c:v>
                </c:pt>
                <c:pt idx="432">
                  <c:v>2015-03-07</c:v>
                </c:pt>
                <c:pt idx="433">
                  <c:v>2015-03-08</c:v>
                </c:pt>
                <c:pt idx="434">
                  <c:v>2015-03-09</c:v>
                </c:pt>
                <c:pt idx="435">
                  <c:v>2015-03-10</c:v>
                </c:pt>
                <c:pt idx="436">
                  <c:v>2015-03-11</c:v>
                </c:pt>
                <c:pt idx="437">
                  <c:v>2015-03-12</c:v>
                </c:pt>
                <c:pt idx="438">
                  <c:v>2015-03-13</c:v>
                </c:pt>
                <c:pt idx="439">
                  <c:v>2015-03-14</c:v>
                </c:pt>
                <c:pt idx="440">
                  <c:v>2015-03-15</c:v>
                </c:pt>
                <c:pt idx="441">
                  <c:v>2015-03-16</c:v>
                </c:pt>
                <c:pt idx="442">
                  <c:v>2015-03-17</c:v>
                </c:pt>
                <c:pt idx="443">
                  <c:v>2015-03-18</c:v>
                </c:pt>
                <c:pt idx="444">
                  <c:v>2015-03-19</c:v>
                </c:pt>
                <c:pt idx="445">
                  <c:v>2015-03-20</c:v>
                </c:pt>
                <c:pt idx="446">
                  <c:v>2015-03-21</c:v>
                </c:pt>
                <c:pt idx="447">
                  <c:v>2015-03-22</c:v>
                </c:pt>
                <c:pt idx="448">
                  <c:v>2015-03-23</c:v>
                </c:pt>
                <c:pt idx="449">
                  <c:v>2015-03-24</c:v>
                </c:pt>
                <c:pt idx="450">
                  <c:v>2015-03-25</c:v>
                </c:pt>
                <c:pt idx="451">
                  <c:v>2015-03-26</c:v>
                </c:pt>
                <c:pt idx="452">
                  <c:v>2015-03-27</c:v>
                </c:pt>
                <c:pt idx="453">
                  <c:v>2015-03-28</c:v>
                </c:pt>
                <c:pt idx="454">
                  <c:v>2015-03-29</c:v>
                </c:pt>
                <c:pt idx="455">
                  <c:v>2015-03-30</c:v>
                </c:pt>
                <c:pt idx="456">
                  <c:v>2015-03-31</c:v>
                </c:pt>
                <c:pt idx="457">
                  <c:v>2015-04-01</c:v>
                </c:pt>
                <c:pt idx="458">
                  <c:v>2015-04-02</c:v>
                </c:pt>
                <c:pt idx="459">
                  <c:v>2015-04-03</c:v>
                </c:pt>
                <c:pt idx="460">
                  <c:v>2015-04-04</c:v>
                </c:pt>
                <c:pt idx="461">
                  <c:v>2015-04-05</c:v>
                </c:pt>
                <c:pt idx="462">
                  <c:v>2015-04-06</c:v>
                </c:pt>
                <c:pt idx="463">
                  <c:v>2015-04-07</c:v>
                </c:pt>
                <c:pt idx="464">
                  <c:v>2015-04-08</c:v>
                </c:pt>
                <c:pt idx="465">
                  <c:v>2015-04-09</c:v>
                </c:pt>
                <c:pt idx="466">
                  <c:v>2015-04-10</c:v>
                </c:pt>
                <c:pt idx="467">
                  <c:v>2015-04-11</c:v>
                </c:pt>
                <c:pt idx="468">
                  <c:v>2015-04-12</c:v>
                </c:pt>
                <c:pt idx="469">
                  <c:v>2015-04-13</c:v>
                </c:pt>
                <c:pt idx="470">
                  <c:v>2015-04-14</c:v>
                </c:pt>
                <c:pt idx="471">
                  <c:v>2015-04-15</c:v>
                </c:pt>
                <c:pt idx="472">
                  <c:v>2015-04-16</c:v>
                </c:pt>
                <c:pt idx="473">
                  <c:v>2015-04-17</c:v>
                </c:pt>
                <c:pt idx="474">
                  <c:v>2015-04-18</c:v>
                </c:pt>
                <c:pt idx="475">
                  <c:v>2015-04-19</c:v>
                </c:pt>
                <c:pt idx="476">
                  <c:v>2015-04-20</c:v>
                </c:pt>
                <c:pt idx="477">
                  <c:v>2015-04-21</c:v>
                </c:pt>
                <c:pt idx="478">
                  <c:v>2015-04-22</c:v>
                </c:pt>
                <c:pt idx="479">
                  <c:v>2015-04-23</c:v>
                </c:pt>
                <c:pt idx="480">
                  <c:v>2015-04-24</c:v>
                </c:pt>
                <c:pt idx="481">
                  <c:v>2015-04-25</c:v>
                </c:pt>
                <c:pt idx="482">
                  <c:v>2015-04-26</c:v>
                </c:pt>
                <c:pt idx="483">
                  <c:v>2015-04-27</c:v>
                </c:pt>
                <c:pt idx="484">
                  <c:v>2015-04-28</c:v>
                </c:pt>
                <c:pt idx="485">
                  <c:v>2015-04-29</c:v>
                </c:pt>
                <c:pt idx="486">
                  <c:v>2015-04-30</c:v>
                </c:pt>
                <c:pt idx="487">
                  <c:v>2015-05-01</c:v>
                </c:pt>
                <c:pt idx="488">
                  <c:v>2015-05-02</c:v>
                </c:pt>
                <c:pt idx="489">
                  <c:v>2015-05-03</c:v>
                </c:pt>
                <c:pt idx="490">
                  <c:v>2015-05-04</c:v>
                </c:pt>
                <c:pt idx="491">
                  <c:v>2015-05-05</c:v>
                </c:pt>
                <c:pt idx="492">
                  <c:v>2015-05-06</c:v>
                </c:pt>
                <c:pt idx="493">
                  <c:v>2015-05-07</c:v>
                </c:pt>
                <c:pt idx="494">
                  <c:v>2015-05-08</c:v>
                </c:pt>
                <c:pt idx="495">
                  <c:v>2015-05-09</c:v>
                </c:pt>
                <c:pt idx="496">
                  <c:v>2015-05-10</c:v>
                </c:pt>
                <c:pt idx="497">
                  <c:v>2015-05-11</c:v>
                </c:pt>
                <c:pt idx="498">
                  <c:v>2015-05-12</c:v>
                </c:pt>
                <c:pt idx="499">
                  <c:v>2015-05-13</c:v>
                </c:pt>
                <c:pt idx="500">
                  <c:v>2015-05-14</c:v>
                </c:pt>
                <c:pt idx="501">
                  <c:v>2015-05-15</c:v>
                </c:pt>
                <c:pt idx="502">
                  <c:v>2015-05-16</c:v>
                </c:pt>
                <c:pt idx="503">
                  <c:v>2015-05-17</c:v>
                </c:pt>
                <c:pt idx="504">
                  <c:v>2015-05-18</c:v>
                </c:pt>
                <c:pt idx="505">
                  <c:v>2015-05-19</c:v>
                </c:pt>
                <c:pt idx="506">
                  <c:v>2015-05-20</c:v>
                </c:pt>
                <c:pt idx="507">
                  <c:v>2015-05-21</c:v>
                </c:pt>
                <c:pt idx="508">
                  <c:v>2015-05-22</c:v>
                </c:pt>
                <c:pt idx="509">
                  <c:v>2015-05-23</c:v>
                </c:pt>
                <c:pt idx="510">
                  <c:v>2015-05-24</c:v>
                </c:pt>
                <c:pt idx="511">
                  <c:v>2015-05-25</c:v>
                </c:pt>
                <c:pt idx="512">
                  <c:v>2015-05-26</c:v>
                </c:pt>
                <c:pt idx="513">
                  <c:v>2015-05-27</c:v>
                </c:pt>
                <c:pt idx="514">
                  <c:v>2015-05-28</c:v>
                </c:pt>
                <c:pt idx="515">
                  <c:v>2015-05-29</c:v>
                </c:pt>
                <c:pt idx="516">
                  <c:v>2015-05-30</c:v>
                </c:pt>
                <c:pt idx="517">
                  <c:v>2015-05-31</c:v>
                </c:pt>
                <c:pt idx="518">
                  <c:v>2015-06-01</c:v>
                </c:pt>
                <c:pt idx="519">
                  <c:v>2015-06-02</c:v>
                </c:pt>
                <c:pt idx="520">
                  <c:v>2015-06-03</c:v>
                </c:pt>
                <c:pt idx="521">
                  <c:v>2015-06-04</c:v>
                </c:pt>
                <c:pt idx="522">
                  <c:v>2015-06-05</c:v>
                </c:pt>
                <c:pt idx="523">
                  <c:v>2015-06-06</c:v>
                </c:pt>
                <c:pt idx="524">
                  <c:v>2015-06-07</c:v>
                </c:pt>
                <c:pt idx="525">
                  <c:v>2015-06-08</c:v>
                </c:pt>
                <c:pt idx="526">
                  <c:v>2015-06-09</c:v>
                </c:pt>
                <c:pt idx="527">
                  <c:v>2015-06-10</c:v>
                </c:pt>
                <c:pt idx="528">
                  <c:v>2015-06-11</c:v>
                </c:pt>
                <c:pt idx="529">
                  <c:v>2015-06-12</c:v>
                </c:pt>
                <c:pt idx="530">
                  <c:v>2015-06-13</c:v>
                </c:pt>
                <c:pt idx="531">
                  <c:v>2015-06-14</c:v>
                </c:pt>
                <c:pt idx="532">
                  <c:v>2015-06-15</c:v>
                </c:pt>
                <c:pt idx="533">
                  <c:v>2015-06-16</c:v>
                </c:pt>
                <c:pt idx="534">
                  <c:v>2015-06-17</c:v>
                </c:pt>
                <c:pt idx="535">
                  <c:v>2015-06-18</c:v>
                </c:pt>
                <c:pt idx="536">
                  <c:v>2015-06-19</c:v>
                </c:pt>
                <c:pt idx="537">
                  <c:v>2015-06-20</c:v>
                </c:pt>
                <c:pt idx="538">
                  <c:v>2015-06-21</c:v>
                </c:pt>
                <c:pt idx="539">
                  <c:v>2015-06-22</c:v>
                </c:pt>
                <c:pt idx="540">
                  <c:v>2015-06-23</c:v>
                </c:pt>
                <c:pt idx="541">
                  <c:v>2015-06-24</c:v>
                </c:pt>
                <c:pt idx="542">
                  <c:v>2015-06-25</c:v>
                </c:pt>
                <c:pt idx="543">
                  <c:v>2015-06-26</c:v>
                </c:pt>
                <c:pt idx="544">
                  <c:v>2015-06-27</c:v>
                </c:pt>
                <c:pt idx="545">
                  <c:v>2015-06-28</c:v>
                </c:pt>
                <c:pt idx="546">
                  <c:v>2015-06-29</c:v>
                </c:pt>
                <c:pt idx="547">
                  <c:v>2015-06-30</c:v>
                </c:pt>
                <c:pt idx="548">
                  <c:v>2015-07-01</c:v>
                </c:pt>
                <c:pt idx="549">
                  <c:v>2015-07-02</c:v>
                </c:pt>
                <c:pt idx="550">
                  <c:v>2015-07-03</c:v>
                </c:pt>
                <c:pt idx="551">
                  <c:v>2015-07-04</c:v>
                </c:pt>
                <c:pt idx="552">
                  <c:v>2015-07-05</c:v>
                </c:pt>
                <c:pt idx="553">
                  <c:v>2015-07-06</c:v>
                </c:pt>
                <c:pt idx="554">
                  <c:v>2015-07-07</c:v>
                </c:pt>
                <c:pt idx="555">
                  <c:v>2015-07-08</c:v>
                </c:pt>
                <c:pt idx="556">
                  <c:v>2015-07-09</c:v>
                </c:pt>
                <c:pt idx="557">
                  <c:v>2015-07-10</c:v>
                </c:pt>
                <c:pt idx="558">
                  <c:v>2015-07-11</c:v>
                </c:pt>
                <c:pt idx="559">
                  <c:v>2015-07-12</c:v>
                </c:pt>
                <c:pt idx="560">
                  <c:v>2015-07-13</c:v>
                </c:pt>
                <c:pt idx="561">
                  <c:v>2015-07-14</c:v>
                </c:pt>
                <c:pt idx="562">
                  <c:v>2015-07-15</c:v>
                </c:pt>
                <c:pt idx="563">
                  <c:v>2015-07-16</c:v>
                </c:pt>
                <c:pt idx="564">
                  <c:v>2015-07-17</c:v>
                </c:pt>
                <c:pt idx="565">
                  <c:v>2015-07-18</c:v>
                </c:pt>
                <c:pt idx="566">
                  <c:v>2015-07-19</c:v>
                </c:pt>
                <c:pt idx="567">
                  <c:v>2015-07-20</c:v>
                </c:pt>
                <c:pt idx="568">
                  <c:v>2015-07-21</c:v>
                </c:pt>
                <c:pt idx="569">
                  <c:v>2015-07-22</c:v>
                </c:pt>
                <c:pt idx="570">
                  <c:v>2015-07-23</c:v>
                </c:pt>
                <c:pt idx="571">
                  <c:v>2015-07-24</c:v>
                </c:pt>
                <c:pt idx="572">
                  <c:v>2015-07-25</c:v>
                </c:pt>
                <c:pt idx="573">
                  <c:v>2015-07-26</c:v>
                </c:pt>
                <c:pt idx="574">
                  <c:v>2015-07-27</c:v>
                </c:pt>
                <c:pt idx="575">
                  <c:v>2015-07-28</c:v>
                </c:pt>
                <c:pt idx="576">
                  <c:v>2015-07-29</c:v>
                </c:pt>
                <c:pt idx="577">
                  <c:v>2015-07-30</c:v>
                </c:pt>
                <c:pt idx="578">
                  <c:v>2015-07-31</c:v>
                </c:pt>
                <c:pt idx="579">
                  <c:v>2015-08-01</c:v>
                </c:pt>
                <c:pt idx="580">
                  <c:v>2015-08-02</c:v>
                </c:pt>
                <c:pt idx="581">
                  <c:v>2015-08-03</c:v>
                </c:pt>
                <c:pt idx="582">
                  <c:v>2015-08-04</c:v>
                </c:pt>
                <c:pt idx="583">
                  <c:v>2015-08-05</c:v>
                </c:pt>
                <c:pt idx="584">
                  <c:v>2015-08-06</c:v>
                </c:pt>
                <c:pt idx="585">
                  <c:v>2015-08-07</c:v>
                </c:pt>
                <c:pt idx="586">
                  <c:v>2015-08-08</c:v>
                </c:pt>
                <c:pt idx="587">
                  <c:v>2015-08-09</c:v>
                </c:pt>
                <c:pt idx="588">
                  <c:v>2015-08-10</c:v>
                </c:pt>
                <c:pt idx="589">
                  <c:v>2015-08-11</c:v>
                </c:pt>
                <c:pt idx="590">
                  <c:v>2015-08-12</c:v>
                </c:pt>
                <c:pt idx="591">
                  <c:v>2015-08-13</c:v>
                </c:pt>
                <c:pt idx="592">
                  <c:v>2015-08-14</c:v>
                </c:pt>
                <c:pt idx="593">
                  <c:v>2015-08-15</c:v>
                </c:pt>
                <c:pt idx="594">
                  <c:v>2015-08-16</c:v>
                </c:pt>
                <c:pt idx="595">
                  <c:v>2015-08-17</c:v>
                </c:pt>
                <c:pt idx="596">
                  <c:v>2015-08-18</c:v>
                </c:pt>
                <c:pt idx="597">
                  <c:v>2015-08-19</c:v>
                </c:pt>
                <c:pt idx="598">
                  <c:v>2015-08-20</c:v>
                </c:pt>
                <c:pt idx="599">
                  <c:v>2015-08-21</c:v>
                </c:pt>
                <c:pt idx="600">
                  <c:v>2015-08-22</c:v>
                </c:pt>
                <c:pt idx="601">
                  <c:v>2015-08-23</c:v>
                </c:pt>
                <c:pt idx="602">
                  <c:v>2015-08-24</c:v>
                </c:pt>
                <c:pt idx="603">
                  <c:v>2015-08-25</c:v>
                </c:pt>
                <c:pt idx="604">
                  <c:v>2015-08-26</c:v>
                </c:pt>
                <c:pt idx="605">
                  <c:v>2015-08-27</c:v>
                </c:pt>
                <c:pt idx="606">
                  <c:v>2015-08-28</c:v>
                </c:pt>
                <c:pt idx="607">
                  <c:v>2015-08-29</c:v>
                </c:pt>
                <c:pt idx="608">
                  <c:v>2015-08-30</c:v>
                </c:pt>
                <c:pt idx="609">
                  <c:v>2015-08-31</c:v>
                </c:pt>
                <c:pt idx="610">
                  <c:v>2015-09-01</c:v>
                </c:pt>
                <c:pt idx="611">
                  <c:v>2015-09-02</c:v>
                </c:pt>
                <c:pt idx="612">
                  <c:v>2015-09-03</c:v>
                </c:pt>
                <c:pt idx="613">
                  <c:v>2015-09-04</c:v>
                </c:pt>
                <c:pt idx="614">
                  <c:v>2015-09-05</c:v>
                </c:pt>
                <c:pt idx="615">
                  <c:v>2015-09-06</c:v>
                </c:pt>
                <c:pt idx="616">
                  <c:v>2015-09-07</c:v>
                </c:pt>
                <c:pt idx="617">
                  <c:v>2015-09-08</c:v>
                </c:pt>
                <c:pt idx="618">
                  <c:v>2015-09-09</c:v>
                </c:pt>
                <c:pt idx="619">
                  <c:v>2015-09-10</c:v>
                </c:pt>
                <c:pt idx="620">
                  <c:v>2015-09-11</c:v>
                </c:pt>
                <c:pt idx="621">
                  <c:v>2015-09-12</c:v>
                </c:pt>
                <c:pt idx="622">
                  <c:v>2015-09-13</c:v>
                </c:pt>
                <c:pt idx="623">
                  <c:v>2015-09-14</c:v>
                </c:pt>
                <c:pt idx="624">
                  <c:v>2015-09-15</c:v>
                </c:pt>
                <c:pt idx="625">
                  <c:v>2015-09-16</c:v>
                </c:pt>
                <c:pt idx="626">
                  <c:v>2015-09-17</c:v>
                </c:pt>
                <c:pt idx="627">
                  <c:v>2015-09-18</c:v>
                </c:pt>
                <c:pt idx="628">
                  <c:v>2015-09-19</c:v>
                </c:pt>
                <c:pt idx="629">
                  <c:v>2015-09-20</c:v>
                </c:pt>
                <c:pt idx="630">
                  <c:v>2015-09-21</c:v>
                </c:pt>
                <c:pt idx="631">
                  <c:v>2015-09-22</c:v>
                </c:pt>
                <c:pt idx="632">
                  <c:v>2015-09-23</c:v>
                </c:pt>
                <c:pt idx="633">
                  <c:v>2015-09-24</c:v>
                </c:pt>
                <c:pt idx="634">
                  <c:v>2015-09-25</c:v>
                </c:pt>
                <c:pt idx="635">
                  <c:v>2015-09-26</c:v>
                </c:pt>
                <c:pt idx="636">
                  <c:v>2015-09-27</c:v>
                </c:pt>
                <c:pt idx="637">
                  <c:v>2015-09-28</c:v>
                </c:pt>
                <c:pt idx="638">
                  <c:v>2015-09-29</c:v>
                </c:pt>
                <c:pt idx="639">
                  <c:v>2015-09-30</c:v>
                </c:pt>
                <c:pt idx="640">
                  <c:v>2015-10-01</c:v>
                </c:pt>
                <c:pt idx="641">
                  <c:v>2015-10-02</c:v>
                </c:pt>
                <c:pt idx="642">
                  <c:v>2015-10-03</c:v>
                </c:pt>
                <c:pt idx="643">
                  <c:v>2015-10-04</c:v>
                </c:pt>
                <c:pt idx="644">
                  <c:v>2015-10-05</c:v>
                </c:pt>
                <c:pt idx="645">
                  <c:v>2015-10-06</c:v>
                </c:pt>
                <c:pt idx="646">
                  <c:v>2015-10-07</c:v>
                </c:pt>
                <c:pt idx="647">
                  <c:v>2015-10-08</c:v>
                </c:pt>
                <c:pt idx="648">
                  <c:v>2015-10-09</c:v>
                </c:pt>
                <c:pt idx="649">
                  <c:v>2015-10-10</c:v>
                </c:pt>
                <c:pt idx="650">
                  <c:v>2015-10-11</c:v>
                </c:pt>
                <c:pt idx="651">
                  <c:v>2015-10-12</c:v>
                </c:pt>
                <c:pt idx="652">
                  <c:v>2015-10-13</c:v>
                </c:pt>
                <c:pt idx="653">
                  <c:v>2015-10-14</c:v>
                </c:pt>
                <c:pt idx="654">
                  <c:v>2015-10-15</c:v>
                </c:pt>
                <c:pt idx="655">
                  <c:v>2015-10-16</c:v>
                </c:pt>
                <c:pt idx="656">
                  <c:v>2015-10-17</c:v>
                </c:pt>
                <c:pt idx="657">
                  <c:v>2015-10-18</c:v>
                </c:pt>
                <c:pt idx="658">
                  <c:v>2015-10-19</c:v>
                </c:pt>
                <c:pt idx="659">
                  <c:v>2015-10-20</c:v>
                </c:pt>
                <c:pt idx="660">
                  <c:v>2015-10-21</c:v>
                </c:pt>
                <c:pt idx="661">
                  <c:v>2015-10-22</c:v>
                </c:pt>
                <c:pt idx="662">
                  <c:v>2015-10-23</c:v>
                </c:pt>
                <c:pt idx="663">
                  <c:v>2015-10-24</c:v>
                </c:pt>
                <c:pt idx="664">
                  <c:v>2015-10-25</c:v>
                </c:pt>
                <c:pt idx="665">
                  <c:v>2015-10-26</c:v>
                </c:pt>
                <c:pt idx="666">
                  <c:v>2015-10-27</c:v>
                </c:pt>
                <c:pt idx="667">
                  <c:v>2015-10-28</c:v>
                </c:pt>
                <c:pt idx="668">
                  <c:v>2015-10-29</c:v>
                </c:pt>
                <c:pt idx="669">
                  <c:v>2015-10-30</c:v>
                </c:pt>
                <c:pt idx="670">
                  <c:v>2015-10-31</c:v>
                </c:pt>
                <c:pt idx="671">
                  <c:v>2015-11-01</c:v>
                </c:pt>
                <c:pt idx="672">
                  <c:v>2015-11-02</c:v>
                </c:pt>
                <c:pt idx="673">
                  <c:v>2015-11-03</c:v>
                </c:pt>
                <c:pt idx="674">
                  <c:v>2015-11-04</c:v>
                </c:pt>
                <c:pt idx="675">
                  <c:v>2015-11-05</c:v>
                </c:pt>
                <c:pt idx="676">
                  <c:v>2015-11-06</c:v>
                </c:pt>
                <c:pt idx="677">
                  <c:v>2015-11-07</c:v>
                </c:pt>
                <c:pt idx="678">
                  <c:v>2015-11-08</c:v>
                </c:pt>
                <c:pt idx="679">
                  <c:v>2015-11-09</c:v>
                </c:pt>
                <c:pt idx="680">
                  <c:v>2015-11-10</c:v>
                </c:pt>
                <c:pt idx="681">
                  <c:v>2015-11-11</c:v>
                </c:pt>
                <c:pt idx="682">
                  <c:v>2015-11-12</c:v>
                </c:pt>
                <c:pt idx="683">
                  <c:v>2015-11-13</c:v>
                </c:pt>
                <c:pt idx="684">
                  <c:v>2015-11-14</c:v>
                </c:pt>
                <c:pt idx="685">
                  <c:v>2015-11-15</c:v>
                </c:pt>
                <c:pt idx="686">
                  <c:v>2015-11-16</c:v>
                </c:pt>
                <c:pt idx="687">
                  <c:v>2015-11-17</c:v>
                </c:pt>
                <c:pt idx="688">
                  <c:v>2015-11-18</c:v>
                </c:pt>
                <c:pt idx="689">
                  <c:v>2015-11-19</c:v>
                </c:pt>
                <c:pt idx="690">
                  <c:v>2015-11-20</c:v>
                </c:pt>
                <c:pt idx="691">
                  <c:v>2015-11-21</c:v>
                </c:pt>
                <c:pt idx="692">
                  <c:v>2015-11-22</c:v>
                </c:pt>
                <c:pt idx="693">
                  <c:v>2015-11-23</c:v>
                </c:pt>
                <c:pt idx="694">
                  <c:v>2015-11-24</c:v>
                </c:pt>
                <c:pt idx="695">
                  <c:v>2015-11-25</c:v>
                </c:pt>
                <c:pt idx="696">
                  <c:v>2015-11-26</c:v>
                </c:pt>
                <c:pt idx="697">
                  <c:v>2015-11-27</c:v>
                </c:pt>
                <c:pt idx="698">
                  <c:v>2015-11-28</c:v>
                </c:pt>
                <c:pt idx="699">
                  <c:v>2015-11-29</c:v>
                </c:pt>
                <c:pt idx="700">
                  <c:v>2015-11-30</c:v>
                </c:pt>
                <c:pt idx="701">
                  <c:v>2015-12-01</c:v>
                </c:pt>
                <c:pt idx="702">
                  <c:v>2015-12-02</c:v>
                </c:pt>
                <c:pt idx="703">
                  <c:v>2015-12-03</c:v>
                </c:pt>
                <c:pt idx="704">
                  <c:v>2015-12-04</c:v>
                </c:pt>
                <c:pt idx="705">
                  <c:v>2015-12-05</c:v>
                </c:pt>
                <c:pt idx="706">
                  <c:v>2015-12-06</c:v>
                </c:pt>
                <c:pt idx="707">
                  <c:v>2015-12-07</c:v>
                </c:pt>
                <c:pt idx="708">
                  <c:v>2015-12-08</c:v>
                </c:pt>
                <c:pt idx="709">
                  <c:v>2015-12-09</c:v>
                </c:pt>
                <c:pt idx="710">
                  <c:v>2015-12-10</c:v>
                </c:pt>
                <c:pt idx="711">
                  <c:v>2015-12-11</c:v>
                </c:pt>
                <c:pt idx="712">
                  <c:v>2015-12-12</c:v>
                </c:pt>
                <c:pt idx="713">
                  <c:v>2015-12-13</c:v>
                </c:pt>
                <c:pt idx="714">
                  <c:v>2015-12-14</c:v>
                </c:pt>
                <c:pt idx="715">
                  <c:v>2015-12-15</c:v>
                </c:pt>
                <c:pt idx="716">
                  <c:v>2015-12-16</c:v>
                </c:pt>
                <c:pt idx="717">
                  <c:v>2015-12-17</c:v>
                </c:pt>
                <c:pt idx="718">
                  <c:v>2015-12-18</c:v>
                </c:pt>
                <c:pt idx="719">
                  <c:v>2015-12-19</c:v>
                </c:pt>
                <c:pt idx="720">
                  <c:v>2015-12-20</c:v>
                </c:pt>
                <c:pt idx="721">
                  <c:v>2015-12-21</c:v>
                </c:pt>
                <c:pt idx="722">
                  <c:v>2015-12-22</c:v>
                </c:pt>
                <c:pt idx="723">
                  <c:v>2015-12-23</c:v>
                </c:pt>
                <c:pt idx="724">
                  <c:v>2015-12-24</c:v>
                </c:pt>
                <c:pt idx="725">
                  <c:v>2015-12-25</c:v>
                </c:pt>
                <c:pt idx="726">
                  <c:v>2015-12-26</c:v>
                </c:pt>
                <c:pt idx="727">
                  <c:v>2015-12-27</c:v>
                </c:pt>
                <c:pt idx="728">
                  <c:v>2015-12-28</c:v>
                </c:pt>
                <c:pt idx="729">
                  <c:v>2015-12-29</c:v>
                </c:pt>
                <c:pt idx="730">
                  <c:v>2015-12-30</c:v>
                </c:pt>
                <c:pt idx="731">
                  <c:v>2015-12-31</c:v>
                </c:pt>
                <c:pt idx="732">
                  <c:v>2016-01-01</c:v>
                </c:pt>
                <c:pt idx="733">
                  <c:v>2016-01-02</c:v>
                </c:pt>
                <c:pt idx="734">
                  <c:v>2016-01-03</c:v>
                </c:pt>
                <c:pt idx="735">
                  <c:v>2016-01-04</c:v>
                </c:pt>
                <c:pt idx="736">
                  <c:v>2016-01-05</c:v>
                </c:pt>
                <c:pt idx="737">
                  <c:v>2016-01-06</c:v>
                </c:pt>
                <c:pt idx="738">
                  <c:v>2016-01-07</c:v>
                </c:pt>
                <c:pt idx="739">
                  <c:v>2016-01-08</c:v>
                </c:pt>
                <c:pt idx="740">
                  <c:v>2016-01-09</c:v>
                </c:pt>
                <c:pt idx="741">
                  <c:v>2016-01-10</c:v>
                </c:pt>
                <c:pt idx="742">
                  <c:v>2016-01-11</c:v>
                </c:pt>
                <c:pt idx="743">
                  <c:v>2016-01-12</c:v>
                </c:pt>
                <c:pt idx="744">
                  <c:v>2016-01-13</c:v>
                </c:pt>
                <c:pt idx="745">
                  <c:v>2016-01-14</c:v>
                </c:pt>
                <c:pt idx="746">
                  <c:v>2016-01-15</c:v>
                </c:pt>
                <c:pt idx="747">
                  <c:v>2016-01-16</c:v>
                </c:pt>
                <c:pt idx="748">
                  <c:v>2016-01-17</c:v>
                </c:pt>
                <c:pt idx="749">
                  <c:v>2016-01-18</c:v>
                </c:pt>
                <c:pt idx="750">
                  <c:v>2016-01-19</c:v>
                </c:pt>
                <c:pt idx="751">
                  <c:v>2016-01-20</c:v>
                </c:pt>
                <c:pt idx="752">
                  <c:v>2016-01-21</c:v>
                </c:pt>
                <c:pt idx="753">
                  <c:v>2016-01-22</c:v>
                </c:pt>
                <c:pt idx="754">
                  <c:v>2016-01-23</c:v>
                </c:pt>
                <c:pt idx="755">
                  <c:v>2016-01-24</c:v>
                </c:pt>
                <c:pt idx="756">
                  <c:v>2016-01-25</c:v>
                </c:pt>
                <c:pt idx="757">
                  <c:v>2016-01-26</c:v>
                </c:pt>
                <c:pt idx="758">
                  <c:v>2016-01-27</c:v>
                </c:pt>
                <c:pt idx="759">
                  <c:v>2016-01-28</c:v>
                </c:pt>
                <c:pt idx="760">
                  <c:v>2016-01-29</c:v>
                </c:pt>
                <c:pt idx="761">
                  <c:v>2016-01-30</c:v>
                </c:pt>
                <c:pt idx="762">
                  <c:v>2016-01-31</c:v>
                </c:pt>
                <c:pt idx="763">
                  <c:v>2016-02-01</c:v>
                </c:pt>
                <c:pt idx="764">
                  <c:v>2016-02-02</c:v>
                </c:pt>
                <c:pt idx="765">
                  <c:v>2016-02-03</c:v>
                </c:pt>
                <c:pt idx="766">
                  <c:v>2016-02-04</c:v>
                </c:pt>
                <c:pt idx="767">
                  <c:v>2016-02-05</c:v>
                </c:pt>
                <c:pt idx="768">
                  <c:v>2016-02-06</c:v>
                </c:pt>
                <c:pt idx="769">
                  <c:v>2016-02-07</c:v>
                </c:pt>
                <c:pt idx="770">
                  <c:v>2016-02-08</c:v>
                </c:pt>
                <c:pt idx="771">
                  <c:v>2016-02-09</c:v>
                </c:pt>
                <c:pt idx="772">
                  <c:v>2016-02-10</c:v>
                </c:pt>
                <c:pt idx="773">
                  <c:v>2016-02-11</c:v>
                </c:pt>
                <c:pt idx="774">
                  <c:v>2016-02-12</c:v>
                </c:pt>
                <c:pt idx="775">
                  <c:v>2016-02-13</c:v>
                </c:pt>
                <c:pt idx="776">
                  <c:v>2016-02-14</c:v>
                </c:pt>
                <c:pt idx="777">
                  <c:v>2016-02-15</c:v>
                </c:pt>
                <c:pt idx="778">
                  <c:v>2016-02-16</c:v>
                </c:pt>
                <c:pt idx="779">
                  <c:v>2016-02-17</c:v>
                </c:pt>
                <c:pt idx="780">
                  <c:v>2016-02-18</c:v>
                </c:pt>
                <c:pt idx="781">
                  <c:v>2016-02-19</c:v>
                </c:pt>
                <c:pt idx="782">
                  <c:v>2016-02-20</c:v>
                </c:pt>
                <c:pt idx="783">
                  <c:v>2016-02-21</c:v>
                </c:pt>
                <c:pt idx="784">
                  <c:v>2016-02-22</c:v>
                </c:pt>
                <c:pt idx="785">
                  <c:v>2016-02-23</c:v>
                </c:pt>
                <c:pt idx="786">
                  <c:v>2016-02-24</c:v>
                </c:pt>
                <c:pt idx="787">
                  <c:v>2016-02-25</c:v>
                </c:pt>
                <c:pt idx="788">
                  <c:v>2016-02-26</c:v>
                </c:pt>
                <c:pt idx="789">
                  <c:v>2016-02-27</c:v>
                </c:pt>
                <c:pt idx="790">
                  <c:v>2016-02-28</c:v>
                </c:pt>
                <c:pt idx="791">
                  <c:v>2016-02-29</c:v>
                </c:pt>
                <c:pt idx="792">
                  <c:v>2016-03-01</c:v>
                </c:pt>
                <c:pt idx="793">
                  <c:v>2016-03-02</c:v>
                </c:pt>
                <c:pt idx="794">
                  <c:v>2016-03-03</c:v>
                </c:pt>
                <c:pt idx="795">
                  <c:v>2016-03-04</c:v>
                </c:pt>
                <c:pt idx="796">
                  <c:v>2016-03-05</c:v>
                </c:pt>
                <c:pt idx="797">
                  <c:v>2016-03-06</c:v>
                </c:pt>
                <c:pt idx="798">
                  <c:v>2016-03-07</c:v>
                </c:pt>
                <c:pt idx="799">
                  <c:v>2016-03-08</c:v>
                </c:pt>
                <c:pt idx="800">
                  <c:v>2016-03-09</c:v>
                </c:pt>
                <c:pt idx="801">
                  <c:v>2016-03-10</c:v>
                </c:pt>
                <c:pt idx="802">
                  <c:v>2016-03-11</c:v>
                </c:pt>
                <c:pt idx="803">
                  <c:v>2016-03-12</c:v>
                </c:pt>
                <c:pt idx="804">
                  <c:v>2016-03-13</c:v>
                </c:pt>
                <c:pt idx="805">
                  <c:v>2016-03-14</c:v>
                </c:pt>
                <c:pt idx="806">
                  <c:v>2016-03-15</c:v>
                </c:pt>
                <c:pt idx="807">
                  <c:v>2016-03-16</c:v>
                </c:pt>
                <c:pt idx="808">
                  <c:v>2016-03-17</c:v>
                </c:pt>
                <c:pt idx="809">
                  <c:v>2016-03-18</c:v>
                </c:pt>
                <c:pt idx="810">
                  <c:v>2016-03-19</c:v>
                </c:pt>
                <c:pt idx="811">
                  <c:v>2016-03-20</c:v>
                </c:pt>
                <c:pt idx="812">
                  <c:v>2016-03-21</c:v>
                </c:pt>
                <c:pt idx="813">
                  <c:v>2016-03-22</c:v>
                </c:pt>
                <c:pt idx="814">
                  <c:v>2016-03-23</c:v>
                </c:pt>
                <c:pt idx="815">
                  <c:v>2016-03-24</c:v>
                </c:pt>
                <c:pt idx="816">
                  <c:v>2016-03-25</c:v>
                </c:pt>
                <c:pt idx="817">
                  <c:v>2016-03-26</c:v>
                </c:pt>
                <c:pt idx="818">
                  <c:v>2016-03-27</c:v>
                </c:pt>
                <c:pt idx="819">
                  <c:v>2016-03-28</c:v>
                </c:pt>
                <c:pt idx="820">
                  <c:v>2016-03-29</c:v>
                </c:pt>
                <c:pt idx="821">
                  <c:v>2016-03-30</c:v>
                </c:pt>
                <c:pt idx="822">
                  <c:v>2016-03-31</c:v>
                </c:pt>
                <c:pt idx="823">
                  <c:v>2016-04-01</c:v>
                </c:pt>
                <c:pt idx="824">
                  <c:v>2016-04-02</c:v>
                </c:pt>
                <c:pt idx="825">
                  <c:v>2016-04-03</c:v>
                </c:pt>
                <c:pt idx="826">
                  <c:v>2016-04-04</c:v>
                </c:pt>
                <c:pt idx="827">
                  <c:v>2016-04-05</c:v>
                </c:pt>
                <c:pt idx="828">
                  <c:v>2016-04-06</c:v>
                </c:pt>
                <c:pt idx="829">
                  <c:v>2016-04-07</c:v>
                </c:pt>
                <c:pt idx="830">
                  <c:v>2016-04-08</c:v>
                </c:pt>
                <c:pt idx="831">
                  <c:v>2016-04-09</c:v>
                </c:pt>
                <c:pt idx="832">
                  <c:v>2016-04-10</c:v>
                </c:pt>
                <c:pt idx="833">
                  <c:v>2016-04-11</c:v>
                </c:pt>
                <c:pt idx="834">
                  <c:v>2016-04-12</c:v>
                </c:pt>
                <c:pt idx="835">
                  <c:v>2016-04-13</c:v>
                </c:pt>
                <c:pt idx="836">
                  <c:v>2016-04-14</c:v>
                </c:pt>
                <c:pt idx="837">
                  <c:v>2016-04-15</c:v>
                </c:pt>
                <c:pt idx="838">
                  <c:v>2016-04-16</c:v>
                </c:pt>
                <c:pt idx="839">
                  <c:v>2016-04-17</c:v>
                </c:pt>
                <c:pt idx="840">
                  <c:v>2016-04-18</c:v>
                </c:pt>
                <c:pt idx="841">
                  <c:v>2016-04-19</c:v>
                </c:pt>
                <c:pt idx="842">
                  <c:v>2016-04-20</c:v>
                </c:pt>
                <c:pt idx="843">
                  <c:v>2016-04-21</c:v>
                </c:pt>
                <c:pt idx="844">
                  <c:v>2016-04-22</c:v>
                </c:pt>
                <c:pt idx="845">
                  <c:v>2016-04-23</c:v>
                </c:pt>
                <c:pt idx="846">
                  <c:v>2016-04-24</c:v>
                </c:pt>
                <c:pt idx="847">
                  <c:v>2016-04-25</c:v>
                </c:pt>
                <c:pt idx="848">
                  <c:v>2016-04-26</c:v>
                </c:pt>
                <c:pt idx="849">
                  <c:v>2016-04-27</c:v>
                </c:pt>
                <c:pt idx="850">
                  <c:v>2016-04-28</c:v>
                </c:pt>
                <c:pt idx="851">
                  <c:v>2016-04-29</c:v>
                </c:pt>
                <c:pt idx="852">
                  <c:v>2016-04-30</c:v>
                </c:pt>
                <c:pt idx="853">
                  <c:v>2016-05-01</c:v>
                </c:pt>
                <c:pt idx="854">
                  <c:v>2016-05-02</c:v>
                </c:pt>
                <c:pt idx="855">
                  <c:v>2016-05-03</c:v>
                </c:pt>
                <c:pt idx="856">
                  <c:v>2016-05-04</c:v>
                </c:pt>
                <c:pt idx="857">
                  <c:v>2016-05-05</c:v>
                </c:pt>
                <c:pt idx="858">
                  <c:v>2016-05-06</c:v>
                </c:pt>
                <c:pt idx="859">
                  <c:v>2016-05-07</c:v>
                </c:pt>
                <c:pt idx="860">
                  <c:v>2016-05-08</c:v>
                </c:pt>
                <c:pt idx="861">
                  <c:v>2016-05-09</c:v>
                </c:pt>
                <c:pt idx="862">
                  <c:v>2016-05-10</c:v>
                </c:pt>
                <c:pt idx="863">
                  <c:v>2016-05-11</c:v>
                </c:pt>
                <c:pt idx="864">
                  <c:v>2016-05-12</c:v>
                </c:pt>
                <c:pt idx="865">
                  <c:v>2016-05-13</c:v>
                </c:pt>
                <c:pt idx="866">
                  <c:v>2016-05-14</c:v>
                </c:pt>
                <c:pt idx="867">
                  <c:v>2016-05-15</c:v>
                </c:pt>
                <c:pt idx="868">
                  <c:v>2016-05-16</c:v>
                </c:pt>
                <c:pt idx="869">
                  <c:v>2016-05-17</c:v>
                </c:pt>
                <c:pt idx="870">
                  <c:v>2016-05-18</c:v>
                </c:pt>
                <c:pt idx="871">
                  <c:v>2016-05-19</c:v>
                </c:pt>
                <c:pt idx="872">
                  <c:v>2016-05-20</c:v>
                </c:pt>
                <c:pt idx="873">
                  <c:v>2016-05-21</c:v>
                </c:pt>
                <c:pt idx="874">
                  <c:v>2016-05-22</c:v>
                </c:pt>
                <c:pt idx="875">
                  <c:v>2016-05-23</c:v>
                </c:pt>
                <c:pt idx="876">
                  <c:v>2016-05-24</c:v>
                </c:pt>
                <c:pt idx="877">
                  <c:v>2016-05-25</c:v>
                </c:pt>
                <c:pt idx="878">
                  <c:v>2016-05-26</c:v>
                </c:pt>
                <c:pt idx="879">
                  <c:v>2016-05-27</c:v>
                </c:pt>
                <c:pt idx="880">
                  <c:v>2016-05-28</c:v>
                </c:pt>
                <c:pt idx="881">
                  <c:v>2016-05-29</c:v>
                </c:pt>
                <c:pt idx="882">
                  <c:v>2016-05-30</c:v>
                </c:pt>
                <c:pt idx="883">
                  <c:v>2016-05-31</c:v>
                </c:pt>
                <c:pt idx="884">
                  <c:v>2016-06-01</c:v>
                </c:pt>
                <c:pt idx="885">
                  <c:v>2016-06-02</c:v>
                </c:pt>
                <c:pt idx="886">
                  <c:v>2016-06-03</c:v>
                </c:pt>
                <c:pt idx="887">
                  <c:v>2016-06-04</c:v>
                </c:pt>
                <c:pt idx="888">
                  <c:v>2016-06-05</c:v>
                </c:pt>
                <c:pt idx="889">
                  <c:v>2016-06-06</c:v>
                </c:pt>
                <c:pt idx="890">
                  <c:v>2016-06-07</c:v>
                </c:pt>
                <c:pt idx="891">
                  <c:v>2016-06-08</c:v>
                </c:pt>
                <c:pt idx="892">
                  <c:v>2016-06-09</c:v>
                </c:pt>
                <c:pt idx="893">
                  <c:v>2016-06-10</c:v>
                </c:pt>
                <c:pt idx="894">
                  <c:v>2016-06-11</c:v>
                </c:pt>
                <c:pt idx="895">
                  <c:v>2016-06-12</c:v>
                </c:pt>
                <c:pt idx="896">
                  <c:v>2016-06-13</c:v>
                </c:pt>
                <c:pt idx="897">
                  <c:v>2016-06-14</c:v>
                </c:pt>
                <c:pt idx="898">
                  <c:v>2016-06-15</c:v>
                </c:pt>
                <c:pt idx="899">
                  <c:v>2016-06-16</c:v>
                </c:pt>
                <c:pt idx="900">
                  <c:v>2016-06-17</c:v>
                </c:pt>
                <c:pt idx="901">
                  <c:v>2016-06-18</c:v>
                </c:pt>
                <c:pt idx="902">
                  <c:v>2016-06-19</c:v>
                </c:pt>
                <c:pt idx="903">
                  <c:v>2016-06-20</c:v>
                </c:pt>
                <c:pt idx="904">
                  <c:v>2016-06-21</c:v>
                </c:pt>
                <c:pt idx="905">
                  <c:v>2016-06-22</c:v>
                </c:pt>
                <c:pt idx="906">
                  <c:v>2016-06-23</c:v>
                </c:pt>
                <c:pt idx="907">
                  <c:v>2016-06-24</c:v>
                </c:pt>
                <c:pt idx="908">
                  <c:v>2016-06-25</c:v>
                </c:pt>
                <c:pt idx="909">
                  <c:v>2016-06-26</c:v>
                </c:pt>
                <c:pt idx="910">
                  <c:v>2016-06-27</c:v>
                </c:pt>
                <c:pt idx="911">
                  <c:v>2016-06-28</c:v>
                </c:pt>
                <c:pt idx="912">
                  <c:v>2016-06-29</c:v>
                </c:pt>
                <c:pt idx="913">
                  <c:v>2016-06-30</c:v>
                </c:pt>
                <c:pt idx="914">
                  <c:v>2016-07-01</c:v>
                </c:pt>
                <c:pt idx="915">
                  <c:v>2016-07-02</c:v>
                </c:pt>
                <c:pt idx="916">
                  <c:v>2016-07-03</c:v>
                </c:pt>
                <c:pt idx="917">
                  <c:v>2016-07-04</c:v>
                </c:pt>
                <c:pt idx="918">
                  <c:v>2016-07-05</c:v>
                </c:pt>
                <c:pt idx="919">
                  <c:v>2016-07-06</c:v>
                </c:pt>
                <c:pt idx="920">
                  <c:v>2016-07-07</c:v>
                </c:pt>
                <c:pt idx="921">
                  <c:v>2016-07-08</c:v>
                </c:pt>
                <c:pt idx="922">
                  <c:v>2016-07-09</c:v>
                </c:pt>
                <c:pt idx="923">
                  <c:v>2016-07-10</c:v>
                </c:pt>
                <c:pt idx="924">
                  <c:v>2016-07-11</c:v>
                </c:pt>
                <c:pt idx="925">
                  <c:v>2016-07-12</c:v>
                </c:pt>
                <c:pt idx="926">
                  <c:v>2016-07-13</c:v>
                </c:pt>
                <c:pt idx="927">
                  <c:v>2016-07-14</c:v>
                </c:pt>
                <c:pt idx="928">
                  <c:v>2016-07-15</c:v>
                </c:pt>
                <c:pt idx="929">
                  <c:v>2016-07-16</c:v>
                </c:pt>
                <c:pt idx="930">
                  <c:v>2016-07-17</c:v>
                </c:pt>
                <c:pt idx="931">
                  <c:v>2016-07-18</c:v>
                </c:pt>
                <c:pt idx="932">
                  <c:v>2016-07-19</c:v>
                </c:pt>
                <c:pt idx="933">
                  <c:v>2016-07-20</c:v>
                </c:pt>
                <c:pt idx="934">
                  <c:v>2016-07-21</c:v>
                </c:pt>
                <c:pt idx="935">
                  <c:v>2016-07-22</c:v>
                </c:pt>
                <c:pt idx="936">
                  <c:v>2016-07-23</c:v>
                </c:pt>
                <c:pt idx="937">
                  <c:v>2016-07-24</c:v>
                </c:pt>
                <c:pt idx="938">
                  <c:v>2016-07-25</c:v>
                </c:pt>
                <c:pt idx="939">
                  <c:v>2016-07-26</c:v>
                </c:pt>
                <c:pt idx="940">
                  <c:v>2016-07-27</c:v>
                </c:pt>
                <c:pt idx="941">
                  <c:v>2016-07-28</c:v>
                </c:pt>
                <c:pt idx="942">
                  <c:v>2016-07-29</c:v>
                </c:pt>
                <c:pt idx="943">
                  <c:v>2016-07-30</c:v>
                </c:pt>
                <c:pt idx="944">
                  <c:v>2016-07-31</c:v>
                </c:pt>
                <c:pt idx="945">
                  <c:v>2016-08-01</c:v>
                </c:pt>
                <c:pt idx="946">
                  <c:v>2016-08-02</c:v>
                </c:pt>
                <c:pt idx="947">
                  <c:v>2016-08-03</c:v>
                </c:pt>
                <c:pt idx="948">
                  <c:v>2016-08-04</c:v>
                </c:pt>
                <c:pt idx="949">
                  <c:v>2016-08-05</c:v>
                </c:pt>
                <c:pt idx="950">
                  <c:v>2016-08-06</c:v>
                </c:pt>
                <c:pt idx="951">
                  <c:v>2016-08-07</c:v>
                </c:pt>
                <c:pt idx="952">
                  <c:v>2016-08-08</c:v>
                </c:pt>
                <c:pt idx="953">
                  <c:v>2016-08-09</c:v>
                </c:pt>
                <c:pt idx="954">
                  <c:v>2016-08-10</c:v>
                </c:pt>
                <c:pt idx="955">
                  <c:v>2016-08-11</c:v>
                </c:pt>
                <c:pt idx="956">
                  <c:v>2016-08-12</c:v>
                </c:pt>
                <c:pt idx="957">
                  <c:v>2016-08-13</c:v>
                </c:pt>
                <c:pt idx="958">
                  <c:v>2016-08-14</c:v>
                </c:pt>
                <c:pt idx="959">
                  <c:v>2016-08-15</c:v>
                </c:pt>
                <c:pt idx="960">
                  <c:v>2016-08-16</c:v>
                </c:pt>
                <c:pt idx="961">
                  <c:v>2016-08-17</c:v>
                </c:pt>
                <c:pt idx="962">
                  <c:v>2016-08-18</c:v>
                </c:pt>
                <c:pt idx="963">
                  <c:v>2016-08-19</c:v>
                </c:pt>
                <c:pt idx="964">
                  <c:v>2016-08-20</c:v>
                </c:pt>
                <c:pt idx="965">
                  <c:v>2016-08-21</c:v>
                </c:pt>
                <c:pt idx="966">
                  <c:v>2016-08-22</c:v>
                </c:pt>
                <c:pt idx="967">
                  <c:v>2016-08-23</c:v>
                </c:pt>
                <c:pt idx="968">
                  <c:v>2016-08-24</c:v>
                </c:pt>
                <c:pt idx="969">
                  <c:v>2016-08-25</c:v>
                </c:pt>
                <c:pt idx="970">
                  <c:v>2016-08-26</c:v>
                </c:pt>
                <c:pt idx="971">
                  <c:v>2016-08-27</c:v>
                </c:pt>
                <c:pt idx="972">
                  <c:v>2016-08-28</c:v>
                </c:pt>
                <c:pt idx="973">
                  <c:v>2016-08-29</c:v>
                </c:pt>
                <c:pt idx="974">
                  <c:v>2016-08-30</c:v>
                </c:pt>
                <c:pt idx="975">
                  <c:v>2016-08-31</c:v>
                </c:pt>
                <c:pt idx="976">
                  <c:v>2016-09-01</c:v>
                </c:pt>
                <c:pt idx="977">
                  <c:v>2016-09-02</c:v>
                </c:pt>
                <c:pt idx="978">
                  <c:v>2016-09-03</c:v>
                </c:pt>
                <c:pt idx="979">
                  <c:v>2016-09-04</c:v>
                </c:pt>
                <c:pt idx="980">
                  <c:v>2016-09-05</c:v>
                </c:pt>
                <c:pt idx="981">
                  <c:v>2016-09-06</c:v>
                </c:pt>
                <c:pt idx="982">
                  <c:v>2016-09-07</c:v>
                </c:pt>
                <c:pt idx="983">
                  <c:v>2016-09-08</c:v>
                </c:pt>
                <c:pt idx="984">
                  <c:v>2016-09-09</c:v>
                </c:pt>
                <c:pt idx="985">
                  <c:v>2016-09-10</c:v>
                </c:pt>
                <c:pt idx="986">
                  <c:v>2016-09-11</c:v>
                </c:pt>
                <c:pt idx="987">
                  <c:v>2016-09-12</c:v>
                </c:pt>
                <c:pt idx="988">
                  <c:v>2016-09-13</c:v>
                </c:pt>
                <c:pt idx="989">
                  <c:v>2016-09-14</c:v>
                </c:pt>
                <c:pt idx="990">
                  <c:v>2016-09-15</c:v>
                </c:pt>
                <c:pt idx="991">
                  <c:v>2016-09-16</c:v>
                </c:pt>
                <c:pt idx="992">
                  <c:v>2016-09-17</c:v>
                </c:pt>
                <c:pt idx="993">
                  <c:v>2016-09-18</c:v>
                </c:pt>
                <c:pt idx="994">
                  <c:v>2016-09-19</c:v>
                </c:pt>
                <c:pt idx="995">
                  <c:v>2016-09-20</c:v>
                </c:pt>
                <c:pt idx="996">
                  <c:v>2016-09-21</c:v>
                </c:pt>
                <c:pt idx="997">
                  <c:v>2016-09-22</c:v>
                </c:pt>
                <c:pt idx="998">
                  <c:v>2016-09-23</c:v>
                </c:pt>
                <c:pt idx="999">
                  <c:v>2016-09-24</c:v>
                </c:pt>
                <c:pt idx="1000">
                  <c:v>2016-09-25</c:v>
                </c:pt>
                <c:pt idx="1001">
                  <c:v>2016-09-26</c:v>
                </c:pt>
                <c:pt idx="1002">
                  <c:v>2016-09-27</c:v>
                </c:pt>
                <c:pt idx="1003">
                  <c:v>2016-09-28</c:v>
                </c:pt>
                <c:pt idx="1004">
                  <c:v>2016-09-29</c:v>
                </c:pt>
                <c:pt idx="1005">
                  <c:v>2016-09-30</c:v>
                </c:pt>
                <c:pt idx="1006">
                  <c:v>2016-10-01</c:v>
                </c:pt>
                <c:pt idx="1007">
                  <c:v>2016-10-02</c:v>
                </c:pt>
                <c:pt idx="1008">
                  <c:v>2016-10-03</c:v>
                </c:pt>
                <c:pt idx="1009">
                  <c:v>2016-10-04</c:v>
                </c:pt>
                <c:pt idx="1010">
                  <c:v>2016-10-05</c:v>
                </c:pt>
                <c:pt idx="1011">
                  <c:v>2016-10-06</c:v>
                </c:pt>
                <c:pt idx="1012">
                  <c:v>2016-10-07</c:v>
                </c:pt>
                <c:pt idx="1013">
                  <c:v>2016-10-08</c:v>
                </c:pt>
                <c:pt idx="1014">
                  <c:v>2016-10-09</c:v>
                </c:pt>
                <c:pt idx="1015">
                  <c:v>2016-10-10</c:v>
                </c:pt>
                <c:pt idx="1016">
                  <c:v>2016-10-11</c:v>
                </c:pt>
                <c:pt idx="1017">
                  <c:v>2016-10-12</c:v>
                </c:pt>
                <c:pt idx="1018">
                  <c:v>2016-10-13</c:v>
                </c:pt>
                <c:pt idx="1019">
                  <c:v>2016-10-14</c:v>
                </c:pt>
                <c:pt idx="1020">
                  <c:v>2016-10-15</c:v>
                </c:pt>
                <c:pt idx="1021">
                  <c:v>2016-10-16</c:v>
                </c:pt>
                <c:pt idx="1022">
                  <c:v>2016-10-17</c:v>
                </c:pt>
                <c:pt idx="1023">
                  <c:v>2016-10-18</c:v>
                </c:pt>
                <c:pt idx="1024">
                  <c:v>2016-10-19</c:v>
                </c:pt>
                <c:pt idx="1025">
                  <c:v>2016-10-20</c:v>
                </c:pt>
                <c:pt idx="1026">
                  <c:v>2016-10-21</c:v>
                </c:pt>
                <c:pt idx="1027">
                  <c:v>2016-10-22</c:v>
                </c:pt>
                <c:pt idx="1028">
                  <c:v>2016-10-23</c:v>
                </c:pt>
                <c:pt idx="1029">
                  <c:v>2016-10-24</c:v>
                </c:pt>
                <c:pt idx="1030">
                  <c:v>2016-10-25</c:v>
                </c:pt>
                <c:pt idx="1031">
                  <c:v>2016-10-26</c:v>
                </c:pt>
                <c:pt idx="1032">
                  <c:v>2016-10-27</c:v>
                </c:pt>
                <c:pt idx="1033">
                  <c:v>2016-10-28</c:v>
                </c:pt>
                <c:pt idx="1034">
                  <c:v>2016-10-29</c:v>
                </c:pt>
                <c:pt idx="1035">
                  <c:v>2016-10-30</c:v>
                </c:pt>
                <c:pt idx="1036">
                  <c:v>2016-10-31</c:v>
                </c:pt>
                <c:pt idx="1037">
                  <c:v>2016-11-01</c:v>
                </c:pt>
                <c:pt idx="1038">
                  <c:v>2016-11-02</c:v>
                </c:pt>
                <c:pt idx="1039">
                  <c:v>2016-11-03</c:v>
                </c:pt>
                <c:pt idx="1040">
                  <c:v>2016-11-04</c:v>
                </c:pt>
                <c:pt idx="1041">
                  <c:v>2016-11-05</c:v>
                </c:pt>
                <c:pt idx="1042">
                  <c:v>2016-11-06</c:v>
                </c:pt>
                <c:pt idx="1043">
                  <c:v>2016-11-07</c:v>
                </c:pt>
                <c:pt idx="1044">
                  <c:v>2016-11-08</c:v>
                </c:pt>
                <c:pt idx="1045">
                  <c:v>2016-11-09</c:v>
                </c:pt>
                <c:pt idx="1046">
                  <c:v>2016-11-10</c:v>
                </c:pt>
                <c:pt idx="1047">
                  <c:v>2016-11-11</c:v>
                </c:pt>
                <c:pt idx="1048">
                  <c:v>2016-11-12</c:v>
                </c:pt>
                <c:pt idx="1049">
                  <c:v>2016-11-13</c:v>
                </c:pt>
                <c:pt idx="1050">
                  <c:v>2016-11-14</c:v>
                </c:pt>
                <c:pt idx="1051">
                  <c:v>2016-11-15</c:v>
                </c:pt>
                <c:pt idx="1052">
                  <c:v>2016-11-16</c:v>
                </c:pt>
              </c:strCache>
            </c:strRef>
          </c:cat>
          <c:val>
            <c:numRef>
              <c:f>'Sales Master'!$D$2:$D$1054</c:f>
              <c:numCache>
                <c:formatCode>#,##0</c:formatCode>
                <c:ptCount val="1053"/>
                <c:pt idx="0">
                  <c:v>6827</c:v>
                </c:pt>
                <c:pt idx="1">
                  <c:v>9268</c:v>
                </c:pt>
                <c:pt idx="2">
                  <c:v>2678</c:v>
                </c:pt>
                <c:pt idx="3">
                  <c:v>6175</c:v>
                </c:pt>
                <c:pt idx="4">
                  <c:v>10084</c:v>
                </c:pt>
                <c:pt idx="5">
                  <c:v>9470</c:v>
                </c:pt>
                <c:pt idx="6">
                  <c:v>5524</c:v>
                </c:pt>
                <c:pt idx="7">
                  <c:v>9448</c:v>
                </c:pt>
                <c:pt idx="8">
                  <c:v>6911</c:v>
                </c:pt>
                <c:pt idx="9">
                  <c:v>2990</c:v>
                </c:pt>
                <c:pt idx="10">
                  <c:v>3159</c:v>
                </c:pt>
                <c:pt idx="11">
                  <c:v>4246</c:v>
                </c:pt>
                <c:pt idx="12">
                  <c:v>4297</c:v>
                </c:pt>
                <c:pt idx="13">
                  <c:v>2796</c:v>
                </c:pt>
                <c:pt idx="14">
                  <c:v>3369</c:v>
                </c:pt>
                <c:pt idx="15">
                  <c:v>2348</c:v>
                </c:pt>
                <c:pt idx="16">
                  <c:v>2903</c:v>
                </c:pt>
                <c:pt idx="17">
                  <c:v>2491</c:v>
                </c:pt>
                <c:pt idx="18">
                  <c:v>3968</c:v>
                </c:pt>
                <c:pt idx="19">
                  <c:v>4393</c:v>
                </c:pt>
                <c:pt idx="20">
                  <c:v>2176</c:v>
                </c:pt>
                <c:pt idx="21">
                  <c:v>2443</c:v>
                </c:pt>
                <c:pt idx="22">
                  <c:v>2638</c:v>
                </c:pt>
                <c:pt idx="23">
                  <c:v>1704</c:v>
                </c:pt>
                <c:pt idx="24">
                  <c:v>1872</c:v>
                </c:pt>
                <c:pt idx="25">
                  <c:v>3423</c:v>
                </c:pt>
                <c:pt idx="26">
                  <c:v>4544</c:v>
                </c:pt>
                <c:pt idx="27">
                  <c:v>2426</c:v>
                </c:pt>
                <c:pt idx="28">
                  <c:v>2117</c:v>
                </c:pt>
                <c:pt idx="29">
                  <c:v>1476</c:v>
                </c:pt>
                <c:pt idx="30">
                  <c:v>1974</c:v>
                </c:pt>
                <c:pt idx="31">
                  <c:v>1892</c:v>
                </c:pt>
                <c:pt idx="32">
                  <c:v>4030</c:v>
                </c:pt>
                <c:pt idx="33">
                  <c:v>5304</c:v>
                </c:pt>
                <c:pt idx="34">
                  <c:v>3320</c:v>
                </c:pt>
                <c:pt idx="35">
                  <c:v>4191</c:v>
                </c:pt>
                <c:pt idx="36">
                  <c:v>3809</c:v>
                </c:pt>
                <c:pt idx="37">
                  <c:v>5764</c:v>
                </c:pt>
                <c:pt idx="38">
                  <c:v>3028</c:v>
                </c:pt>
                <c:pt idx="39">
                  <c:v>9284</c:v>
                </c:pt>
                <c:pt idx="40">
                  <c:v>9737</c:v>
                </c:pt>
                <c:pt idx="41">
                  <c:v>4163</c:v>
                </c:pt>
                <c:pt idx="42">
                  <c:v>4552</c:v>
                </c:pt>
                <c:pt idx="43">
                  <c:v>4172</c:v>
                </c:pt>
                <c:pt idx="44">
                  <c:v>5037</c:v>
                </c:pt>
                <c:pt idx="45">
                  <c:v>4259</c:v>
                </c:pt>
                <c:pt idx="46">
                  <c:v>10381</c:v>
                </c:pt>
                <c:pt idx="47">
                  <c:v>11332</c:v>
                </c:pt>
                <c:pt idx="48">
                  <c:v>4127</c:v>
                </c:pt>
                <c:pt idx="49">
                  <c:v>4649</c:v>
                </c:pt>
                <c:pt idx="50">
                  <c:v>1627</c:v>
                </c:pt>
                <c:pt idx="51">
                  <c:v>3281</c:v>
                </c:pt>
                <c:pt idx="52">
                  <c:v>2310</c:v>
                </c:pt>
                <c:pt idx="53">
                  <c:v>9802</c:v>
                </c:pt>
                <c:pt idx="54">
                  <c:v>9772</c:v>
                </c:pt>
                <c:pt idx="55">
                  <c:v>4270</c:v>
                </c:pt>
                <c:pt idx="56">
                  <c:v>4106</c:v>
                </c:pt>
                <c:pt idx="57">
                  <c:v>6937</c:v>
                </c:pt>
                <c:pt idx="58">
                  <c:v>6934</c:v>
                </c:pt>
                <c:pt idx="59">
                  <c:v>11082</c:v>
                </c:pt>
                <c:pt idx="60">
                  <c:v>20805</c:v>
                </c:pt>
                <c:pt idx="61">
                  <c:v>26410</c:v>
                </c:pt>
                <c:pt idx="62">
                  <c:v>15004</c:v>
                </c:pt>
                <c:pt idx="63">
                  <c:v>16884</c:v>
                </c:pt>
                <c:pt idx="64">
                  <c:v>9789</c:v>
                </c:pt>
                <c:pt idx="65">
                  <c:v>8079</c:v>
                </c:pt>
                <c:pt idx="66">
                  <c:v>5072</c:v>
                </c:pt>
                <c:pt idx="67">
                  <c:v>14551</c:v>
                </c:pt>
                <c:pt idx="68">
                  <c:v>16262</c:v>
                </c:pt>
                <c:pt idx="69">
                  <c:v>7014</c:v>
                </c:pt>
                <c:pt idx="70">
                  <c:v>8932</c:v>
                </c:pt>
                <c:pt idx="71">
                  <c:v>5737</c:v>
                </c:pt>
                <c:pt idx="72">
                  <c:v>5903</c:v>
                </c:pt>
                <c:pt idx="73">
                  <c:v>5056</c:v>
                </c:pt>
                <c:pt idx="74">
                  <c:v>12167</c:v>
                </c:pt>
                <c:pt idx="75">
                  <c:v>15971</c:v>
                </c:pt>
                <c:pt idx="76">
                  <c:v>6968</c:v>
                </c:pt>
                <c:pt idx="77">
                  <c:v>7494</c:v>
                </c:pt>
                <c:pt idx="78">
                  <c:v>2707</c:v>
                </c:pt>
                <c:pt idx="79">
                  <c:v>2637</c:v>
                </c:pt>
                <c:pt idx="80">
                  <c:v>5149</c:v>
                </c:pt>
                <c:pt idx="81">
                  <c:v>5735</c:v>
                </c:pt>
                <c:pt idx="82">
                  <c:v>4936</c:v>
                </c:pt>
                <c:pt idx="83">
                  <c:v>2003</c:v>
                </c:pt>
                <c:pt idx="84">
                  <c:v>2323</c:v>
                </c:pt>
                <c:pt idx="85">
                  <c:v>3822</c:v>
                </c:pt>
                <c:pt idx="86">
                  <c:v>3666</c:v>
                </c:pt>
                <c:pt idx="87">
                  <c:v>3543</c:v>
                </c:pt>
                <c:pt idx="88">
                  <c:v>8130</c:v>
                </c:pt>
                <c:pt idx="89">
                  <c:v>10518</c:v>
                </c:pt>
                <c:pt idx="90">
                  <c:v>4791</c:v>
                </c:pt>
                <c:pt idx="91">
                  <c:v>5583</c:v>
                </c:pt>
                <c:pt idx="92">
                  <c:v>7155</c:v>
                </c:pt>
                <c:pt idx="93">
                  <c:v>4575</c:v>
                </c:pt>
                <c:pt idx="94">
                  <c:v>3997</c:v>
                </c:pt>
                <c:pt idx="95">
                  <c:v>5558</c:v>
                </c:pt>
                <c:pt idx="96">
                  <c:v>6320</c:v>
                </c:pt>
                <c:pt idx="97">
                  <c:v>3447</c:v>
                </c:pt>
                <c:pt idx="98">
                  <c:v>3854</c:v>
                </c:pt>
                <c:pt idx="99">
                  <c:v>3394</c:v>
                </c:pt>
                <c:pt idx="100">
                  <c:v>3563</c:v>
                </c:pt>
                <c:pt idx="101">
                  <c:v>5380</c:v>
                </c:pt>
                <c:pt idx="102">
                  <c:v>9573</c:v>
                </c:pt>
                <c:pt idx="103">
                  <c:v>11250</c:v>
                </c:pt>
                <c:pt idx="104">
                  <c:v>4990</c:v>
                </c:pt>
                <c:pt idx="105">
                  <c:v>5810</c:v>
                </c:pt>
                <c:pt idx="106">
                  <c:v>7497</c:v>
                </c:pt>
                <c:pt idx="107">
                  <c:v>8821</c:v>
                </c:pt>
                <c:pt idx="108">
                  <c:v>18366</c:v>
                </c:pt>
                <c:pt idx="109">
                  <c:v>13940</c:v>
                </c:pt>
                <c:pt idx="110">
                  <c:v>10814</c:v>
                </c:pt>
                <c:pt idx="111">
                  <c:v>3429</c:v>
                </c:pt>
                <c:pt idx="112">
                  <c:v>4834</c:v>
                </c:pt>
                <c:pt idx="113">
                  <c:v>5475</c:v>
                </c:pt>
                <c:pt idx="114">
                  <c:v>3121</c:v>
                </c:pt>
                <c:pt idx="115">
                  <c:v>2809</c:v>
                </c:pt>
                <c:pt idx="116">
                  <c:v>8537</c:v>
                </c:pt>
                <c:pt idx="117">
                  <c:v>8209</c:v>
                </c:pt>
                <c:pt idx="118">
                  <c:v>3592</c:v>
                </c:pt>
                <c:pt idx="119">
                  <c:v>3576</c:v>
                </c:pt>
                <c:pt idx="120">
                  <c:v>3807</c:v>
                </c:pt>
                <c:pt idx="121">
                  <c:v>4398</c:v>
                </c:pt>
                <c:pt idx="122">
                  <c:v>5124</c:v>
                </c:pt>
                <c:pt idx="123">
                  <c:v>4581</c:v>
                </c:pt>
                <c:pt idx="124">
                  <c:v>3697</c:v>
                </c:pt>
                <c:pt idx="125">
                  <c:v>2642</c:v>
                </c:pt>
                <c:pt idx="126">
                  <c:v>3154</c:v>
                </c:pt>
                <c:pt idx="127">
                  <c:v>3324</c:v>
                </c:pt>
                <c:pt idx="128">
                  <c:v>2677</c:v>
                </c:pt>
                <c:pt idx="129">
                  <c:v>2683</c:v>
                </c:pt>
                <c:pt idx="130">
                  <c:v>9328</c:v>
                </c:pt>
                <c:pt idx="131">
                  <c:v>13306</c:v>
                </c:pt>
                <c:pt idx="132">
                  <c:v>6173</c:v>
                </c:pt>
                <c:pt idx="133">
                  <c:v>5653</c:v>
                </c:pt>
                <c:pt idx="134">
                  <c:v>4503</c:v>
                </c:pt>
                <c:pt idx="135">
                  <c:v>6253</c:v>
                </c:pt>
                <c:pt idx="136">
                  <c:v>8408</c:v>
                </c:pt>
                <c:pt idx="137">
                  <c:v>12949</c:v>
                </c:pt>
                <c:pt idx="138">
                  <c:v>15508</c:v>
                </c:pt>
                <c:pt idx="139">
                  <c:v>5141</c:v>
                </c:pt>
                <c:pt idx="140">
                  <c:v>5194</c:v>
                </c:pt>
                <c:pt idx="141">
                  <c:v>5550</c:v>
                </c:pt>
                <c:pt idx="142">
                  <c:v>6070</c:v>
                </c:pt>
                <c:pt idx="143">
                  <c:v>3421</c:v>
                </c:pt>
                <c:pt idx="144">
                  <c:v>13384</c:v>
                </c:pt>
                <c:pt idx="145">
                  <c:v>18356</c:v>
                </c:pt>
                <c:pt idx="146">
                  <c:v>6500</c:v>
                </c:pt>
                <c:pt idx="147">
                  <c:v>6752</c:v>
                </c:pt>
                <c:pt idx="148">
                  <c:v>7023</c:v>
                </c:pt>
                <c:pt idx="149">
                  <c:v>7579</c:v>
                </c:pt>
                <c:pt idx="150">
                  <c:v>6448</c:v>
                </c:pt>
                <c:pt idx="151">
                  <c:v>15637</c:v>
                </c:pt>
                <c:pt idx="152">
                  <c:v>18775</c:v>
                </c:pt>
                <c:pt idx="153">
                  <c:v>14188</c:v>
                </c:pt>
                <c:pt idx="154">
                  <c:v>13256</c:v>
                </c:pt>
                <c:pt idx="155">
                  <c:v>10223</c:v>
                </c:pt>
                <c:pt idx="156">
                  <c:v>8904</c:v>
                </c:pt>
                <c:pt idx="157">
                  <c:v>5783</c:v>
                </c:pt>
                <c:pt idx="158">
                  <c:v>9005</c:v>
                </c:pt>
                <c:pt idx="159">
                  <c:v>12222</c:v>
                </c:pt>
                <c:pt idx="160">
                  <c:v>6037</c:v>
                </c:pt>
                <c:pt idx="161">
                  <c:v>6607</c:v>
                </c:pt>
                <c:pt idx="162">
                  <c:v>5857</c:v>
                </c:pt>
                <c:pt idx="163">
                  <c:v>5429</c:v>
                </c:pt>
                <c:pt idx="164">
                  <c:v>6232</c:v>
                </c:pt>
                <c:pt idx="165">
                  <c:v>14585</c:v>
                </c:pt>
                <c:pt idx="166">
                  <c:v>14745</c:v>
                </c:pt>
                <c:pt idx="167">
                  <c:v>6991</c:v>
                </c:pt>
                <c:pt idx="168">
                  <c:v>5788</c:v>
                </c:pt>
                <c:pt idx="169">
                  <c:v>6632</c:v>
                </c:pt>
                <c:pt idx="170">
                  <c:v>5752</c:v>
                </c:pt>
                <c:pt idx="171">
                  <c:v>3578</c:v>
                </c:pt>
                <c:pt idx="172">
                  <c:v>6119</c:v>
                </c:pt>
                <c:pt idx="173">
                  <c:v>6161</c:v>
                </c:pt>
                <c:pt idx="174">
                  <c:v>4015</c:v>
                </c:pt>
                <c:pt idx="175">
                  <c:v>4133</c:v>
                </c:pt>
                <c:pt idx="176">
                  <c:v>1047</c:v>
                </c:pt>
                <c:pt idx="177">
                  <c:v>1601</c:v>
                </c:pt>
                <c:pt idx="178">
                  <c:v>1592</c:v>
                </c:pt>
                <c:pt idx="179">
                  <c:v>3759</c:v>
                </c:pt>
                <c:pt idx="180">
                  <c:v>4172</c:v>
                </c:pt>
                <c:pt idx="181">
                  <c:v>1772</c:v>
                </c:pt>
                <c:pt idx="182">
                  <c:v>2672</c:v>
                </c:pt>
                <c:pt idx="183">
                  <c:v>5143</c:v>
                </c:pt>
                <c:pt idx="184">
                  <c:v>2990</c:v>
                </c:pt>
                <c:pt idx="185">
                  <c:v>2667</c:v>
                </c:pt>
                <c:pt idx="186">
                  <c:v>2799</c:v>
                </c:pt>
                <c:pt idx="187">
                  <c:v>3355</c:v>
                </c:pt>
                <c:pt idx="188">
                  <c:v>2002</c:v>
                </c:pt>
                <c:pt idx="189">
                  <c:v>1967</c:v>
                </c:pt>
                <c:pt idx="190">
                  <c:v>3094</c:v>
                </c:pt>
                <c:pt idx="191">
                  <c:v>2335</c:v>
                </c:pt>
                <c:pt idx="192">
                  <c:v>2968</c:v>
                </c:pt>
                <c:pt idx="193">
                  <c:v>3825</c:v>
                </c:pt>
                <c:pt idx="194">
                  <c:v>2833</c:v>
                </c:pt>
                <c:pt idx="195">
                  <c:v>1419</c:v>
                </c:pt>
                <c:pt idx="196">
                  <c:v>2151</c:v>
                </c:pt>
                <c:pt idx="197">
                  <c:v>3148</c:v>
                </c:pt>
                <c:pt idx="198">
                  <c:v>4825</c:v>
                </c:pt>
                <c:pt idx="199">
                  <c:v>2307</c:v>
                </c:pt>
                <c:pt idx="200">
                  <c:v>3557</c:v>
                </c:pt>
                <c:pt idx="201">
                  <c:v>7485</c:v>
                </c:pt>
                <c:pt idx="202">
                  <c:v>2428</c:v>
                </c:pt>
                <c:pt idx="203">
                  <c:v>2475</c:v>
                </c:pt>
                <c:pt idx="204">
                  <c:v>1618</c:v>
                </c:pt>
                <c:pt idx="205">
                  <c:v>5106</c:v>
                </c:pt>
                <c:pt idx="206">
                  <c:v>2729</c:v>
                </c:pt>
                <c:pt idx="207">
                  <c:v>15897</c:v>
                </c:pt>
                <c:pt idx="208">
                  <c:v>17343</c:v>
                </c:pt>
                <c:pt idx="209">
                  <c:v>8207</c:v>
                </c:pt>
                <c:pt idx="210">
                  <c:v>9018</c:v>
                </c:pt>
                <c:pt idx="211">
                  <c:v>6548</c:v>
                </c:pt>
                <c:pt idx="212">
                  <c:v>6102</c:v>
                </c:pt>
                <c:pt idx="213">
                  <c:v>9108</c:v>
                </c:pt>
                <c:pt idx="214">
                  <c:v>18867</c:v>
                </c:pt>
                <c:pt idx="215">
                  <c:v>19384</c:v>
                </c:pt>
                <c:pt idx="216">
                  <c:v>9473</c:v>
                </c:pt>
                <c:pt idx="217">
                  <c:v>11170</c:v>
                </c:pt>
                <c:pt idx="218">
                  <c:v>8091</c:v>
                </c:pt>
                <c:pt idx="219">
                  <c:v>2303</c:v>
                </c:pt>
                <c:pt idx="220">
                  <c:v>2947</c:v>
                </c:pt>
                <c:pt idx="221">
                  <c:v>13542</c:v>
                </c:pt>
                <c:pt idx="222">
                  <c:v>12588</c:v>
                </c:pt>
                <c:pt idx="223">
                  <c:v>6032</c:v>
                </c:pt>
                <c:pt idx="224">
                  <c:v>7158</c:v>
                </c:pt>
                <c:pt idx="225">
                  <c:v>5863</c:v>
                </c:pt>
                <c:pt idx="226">
                  <c:v>6092</c:v>
                </c:pt>
                <c:pt idx="227">
                  <c:v>5485</c:v>
                </c:pt>
                <c:pt idx="228">
                  <c:v>14587</c:v>
                </c:pt>
                <c:pt idx="229">
                  <c:v>16686</c:v>
                </c:pt>
                <c:pt idx="230">
                  <c:v>7380</c:v>
                </c:pt>
                <c:pt idx="231">
                  <c:v>7864</c:v>
                </c:pt>
                <c:pt idx="232">
                  <c:v>4941</c:v>
                </c:pt>
                <c:pt idx="233">
                  <c:v>5151</c:v>
                </c:pt>
                <c:pt idx="234">
                  <c:v>4928</c:v>
                </c:pt>
                <c:pt idx="235">
                  <c:v>11309</c:v>
                </c:pt>
                <c:pt idx="236">
                  <c:v>13613</c:v>
                </c:pt>
                <c:pt idx="237">
                  <c:v>6424</c:v>
                </c:pt>
                <c:pt idx="238">
                  <c:v>9493</c:v>
                </c:pt>
                <c:pt idx="239">
                  <c:v>7619</c:v>
                </c:pt>
                <c:pt idx="240">
                  <c:v>8909</c:v>
                </c:pt>
                <c:pt idx="241">
                  <c:v>8400</c:v>
                </c:pt>
                <c:pt idx="242">
                  <c:v>19317</c:v>
                </c:pt>
                <c:pt idx="243">
                  <c:v>23310</c:v>
                </c:pt>
                <c:pt idx="244">
                  <c:v>11646</c:v>
                </c:pt>
                <c:pt idx="245">
                  <c:v>19366</c:v>
                </c:pt>
                <c:pt idx="246">
                  <c:v>15291</c:v>
                </c:pt>
                <c:pt idx="247">
                  <c:v>15100</c:v>
                </c:pt>
                <c:pt idx="248">
                  <c:v>10164</c:v>
                </c:pt>
                <c:pt idx="249">
                  <c:v>16310</c:v>
                </c:pt>
                <c:pt idx="250">
                  <c:v>17985</c:v>
                </c:pt>
                <c:pt idx="251">
                  <c:v>7620</c:v>
                </c:pt>
                <c:pt idx="252">
                  <c:v>7958</c:v>
                </c:pt>
                <c:pt idx="253">
                  <c:v>3503</c:v>
                </c:pt>
                <c:pt idx="254">
                  <c:v>2247</c:v>
                </c:pt>
                <c:pt idx="255">
                  <c:v>2023</c:v>
                </c:pt>
                <c:pt idx="256">
                  <c:v>4242</c:v>
                </c:pt>
                <c:pt idx="257">
                  <c:v>4901</c:v>
                </c:pt>
                <c:pt idx="258">
                  <c:v>2467</c:v>
                </c:pt>
                <c:pt idx="259">
                  <c:v>3432</c:v>
                </c:pt>
                <c:pt idx="260">
                  <c:v>2375</c:v>
                </c:pt>
                <c:pt idx="261">
                  <c:v>2105</c:v>
                </c:pt>
                <c:pt idx="262">
                  <c:v>1982</c:v>
                </c:pt>
                <c:pt idx="263">
                  <c:v>3915</c:v>
                </c:pt>
                <c:pt idx="264">
                  <c:v>4383</c:v>
                </c:pt>
                <c:pt idx="265">
                  <c:v>2159</c:v>
                </c:pt>
                <c:pt idx="266">
                  <c:v>2592</c:v>
                </c:pt>
                <c:pt idx="267">
                  <c:v>3143</c:v>
                </c:pt>
                <c:pt idx="268">
                  <c:v>6457</c:v>
                </c:pt>
                <c:pt idx="269">
                  <c:v>11039</c:v>
                </c:pt>
                <c:pt idx="270">
                  <c:v>18036</c:v>
                </c:pt>
                <c:pt idx="271">
                  <c:v>19017</c:v>
                </c:pt>
                <c:pt idx="272">
                  <c:v>8747</c:v>
                </c:pt>
                <c:pt idx="273">
                  <c:v>8147</c:v>
                </c:pt>
                <c:pt idx="274">
                  <c:v>11036</c:v>
                </c:pt>
                <c:pt idx="275">
                  <c:v>18330</c:v>
                </c:pt>
                <c:pt idx="276">
                  <c:v>14503</c:v>
                </c:pt>
                <c:pt idx="277">
                  <c:v>15986</c:v>
                </c:pt>
                <c:pt idx="278">
                  <c:v>20223</c:v>
                </c:pt>
                <c:pt idx="279">
                  <c:v>8631</c:v>
                </c:pt>
                <c:pt idx="280">
                  <c:v>11579</c:v>
                </c:pt>
                <c:pt idx="281">
                  <c:v>2127</c:v>
                </c:pt>
                <c:pt idx="282">
                  <c:v>1923</c:v>
                </c:pt>
                <c:pt idx="283">
                  <c:v>2809</c:v>
                </c:pt>
                <c:pt idx="284">
                  <c:v>4891</c:v>
                </c:pt>
                <c:pt idx="285">
                  <c:v>3758</c:v>
                </c:pt>
                <c:pt idx="286">
                  <c:v>1661</c:v>
                </c:pt>
                <c:pt idx="287">
                  <c:v>2360</c:v>
                </c:pt>
                <c:pt idx="288">
                  <c:v>1894</c:v>
                </c:pt>
                <c:pt idx="289">
                  <c:v>3548</c:v>
                </c:pt>
                <c:pt idx="290">
                  <c:v>2591</c:v>
                </c:pt>
                <c:pt idx="291">
                  <c:v>3293</c:v>
                </c:pt>
                <c:pt idx="292">
                  <c:v>4611</c:v>
                </c:pt>
                <c:pt idx="293">
                  <c:v>2468</c:v>
                </c:pt>
                <c:pt idx="294">
                  <c:v>2773</c:v>
                </c:pt>
                <c:pt idx="295">
                  <c:v>2815</c:v>
                </c:pt>
                <c:pt idx="296">
                  <c:v>2701</c:v>
                </c:pt>
                <c:pt idx="297">
                  <c:v>2651</c:v>
                </c:pt>
                <c:pt idx="298">
                  <c:v>6781</c:v>
                </c:pt>
                <c:pt idx="299">
                  <c:v>8249</c:v>
                </c:pt>
                <c:pt idx="300">
                  <c:v>3502</c:v>
                </c:pt>
                <c:pt idx="301">
                  <c:v>3949</c:v>
                </c:pt>
                <c:pt idx="302">
                  <c:v>2435</c:v>
                </c:pt>
                <c:pt idx="303">
                  <c:v>2232</c:v>
                </c:pt>
                <c:pt idx="304">
                  <c:v>1898</c:v>
                </c:pt>
                <c:pt idx="305">
                  <c:v>4537</c:v>
                </c:pt>
                <c:pt idx="306">
                  <c:v>6730</c:v>
                </c:pt>
                <c:pt idx="307">
                  <c:v>4038</c:v>
                </c:pt>
                <c:pt idx="308">
                  <c:v>5581</c:v>
                </c:pt>
                <c:pt idx="309">
                  <c:v>2519</c:v>
                </c:pt>
                <c:pt idx="310">
                  <c:v>1847</c:v>
                </c:pt>
                <c:pt idx="311">
                  <c:v>2309</c:v>
                </c:pt>
                <c:pt idx="312">
                  <c:v>3722</c:v>
                </c:pt>
                <c:pt idx="313">
                  <c:v>4268</c:v>
                </c:pt>
                <c:pt idx="314">
                  <c:v>1968</c:v>
                </c:pt>
                <c:pt idx="315">
                  <c:v>2016</c:v>
                </c:pt>
                <c:pt idx="316">
                  <c:v>1497</c:v>
                </c:pt>
                <c:pt idx="317">
                  <c:v>1314</c:v>
                </c:pt>
                <c:pt idx="318">
                  <c:v>1466</c:v>
                </c:pt>
                <c:pt idx="319">
                  <c:v>3984</c:v>
                </c:pt>
                <c:pt idx="320">
                  <c:v>4802</c:v>
                </c:pt>
                <c:pt idx="321">
                  <c:v>2017</c:v>
                </c:pt>
                <c:pt idx="322">
                  <c:v>2297</c:v>
                </c:pt>
                <c:pt idx="323">
                  <c:v>1665</c:v>
                </c:pt>
                <c:pt idx="324">
                  <c:v>1291</c:v>
                </c:pt>
                <c:pt idx="325">
                  <c:v>1361</c:v>
                </c:pt>
                <c:pt idx="326">
                  <c:v>1281</c:v>
                </c:pt>
                <c:pt idx="327">
                  <c:v>1122</c:v>
                </c:pt>
                <c:pt idx="328">
                  <c:v>737</c:v>
                </c:pt>
                <c:pt idx="329">
                  <c:v>641</c:v>
                </c:pt>
                <c:pt idx="330">
                  <c:v>968</c:v>
                </c:pt>
                <c:pt idx="331">
                  <c:v>709</c:v>
                </c:pt>
                <c:pt idx="332">
                  <c:v>880</c:v>
                </c:pt>
                <c:pt idx="333">
                  <c:v>1096</c:v>
                </c:pt>
                <c:pt idx="334">
                  <c:v>2068</c:v>
                </c:pt>
                <c:pt idx="335">
                  <c:v>2375</c:v>
                </c:pt>
                <c:pt idx="336">
                  <c:v>2492</c:v>
                </c:pt>
                <c:pt idx="337">
                  <c:v>2170</c:v>
                </c:pt>
                <c:pt idx="338">
                  <c:v>1784</c:v>
                </c:pt>
                <c:pt idx="339">
                  <c:v>1368</c:v>
                </c:pt>
                <c:pt idx="340">
                  <c:v>1914</c:v>
                </c:pt>
                <c:pt idx="341">
                  <c:v>3765</c:v>
                </c:pt>
                <c:pt idx="342">
                  <c:v>2712</c:v>
                </c:pt>
                <c:pt idx="343">
                  <c:v>2222</c:v>
                </c:pt>
                <c:pt idx="344">
                  <c:v>1861</c:v>
                </c:pt>
                <c:pt idx="345">
                  <c:v>4095</c:v>
                </c:pt>
                <c:pt idx="346">
                  <c:v>4157</c:v>
                </c:pt>
                <c:pt idx="347">
                  <c:v>7259</c:v>
                </c:pt>
                <c:pt idx="348">
                  <c:v>9654</c:v>
                </c:pt>
                <c:pt idx="349">
                  <c:v>4632</c:v>
                </c:pt>
                <c:pt idx="350">
                  <c:v>7341</c:v>
                </c:pt>
                <c:pt idx="351">
                  <c:v>4308</c:v>
                </c:pt>
                <c:pt idx="352">
                  <c:v>3865</c:v>
                </c:pt>
                <c:pt idx="353">
                  <c:v>5288</c:v>
                </c:pt>
                <c:pt idx="354">
                  <c:v>7141</c:v>
                </c:pt>
                <c:pt idx="355">
                  <c:v>8268</c:v>
                </c:pt>
                <c:pt idx="356">
                  <c:v>4541</c:v>
                </c:pt>
                <c:pt idx="357">
                  <c:v>5014</c:v>
                </c:pt>
                <c:pt idx="358">
                  <c:v>7778</c:v>
                </c:pt>
                <c:pt idx="359">
                  <c:v>11809</c:v>
                </c:pt>
                <c:pt idx="360">
                  <c:v>3344</c:v>
                </c:pt>
                <c:pt idx="361">
                  <c:v>1169</c:v>
                </c:pt>
                <c:pt idx="362">
                  <c:v>2676</c:v>
                </c:pt>
                <c:pt idx="363">
                  <c:v>1677</c:v>
                </c:pt>
                <c:pt idx="364">
                  <c:v>3237</c:v>
                </c:pt>
                <c:pt idx="365">
                  <c:v>5607</c:v>
                </c:pt>
                <c:pt idx="366">
                  <c:v>9464</c:v>
                </c:pt>
                <c:pt idx="367">
                  <c:v>2905</c:v>
                </c:pt>
                <c:pt idx="368">
                  <c:v>7023</c:v>
                </c:pt>
                <c:pt idx="369">
                  <c:v>6371</c:v>
                </c:pt>
                <c:pt idx="370">
                  <c:v>4624</c:v>
                </c:pt>
                <c:pt idx="371">
                  <c:v>5717</c:v>
                </c:pt>
                <c:pt idx="372">
                  <c:v>4705</c:v>
                </c:pt>
                <c:pt idx="373">
                  <c:v>2020</c:v>
                </c:pt>
                <c:pt idx="374">
                  <c:v>1868</c:v>
                </c:pt>
                <c:pt idx="375">
                  <c:v>3008</c:v>
                </c:pt>
                <c:pt idx="376">
                  <c:v>2934</c:v>
                </c:pt>
                <c:pt idx="377">
                  <c:v>1690</c:v>
                </c:pt>
                <c:pt idx="378">
                  <c:v>2058</c:v>
                </c:pt>
                <c:pt idx="379">
                  <c:v>1570</c:v>
                </c:pt>
                <c:pt idx="380">
                  <c:v>1446</c:v>
                </c:pt>
                <c:pt idx="381">
                  <c:v>1921</c:v>
                </c:pt>
                <c:pt idx="382">
                  <c:v>3629</c:v>
                </c:pt>
                <c:pt idx="383">
                  <c:v>4144</c:v>
                </c:pt>
                <c:pt idx="384">
                  <c:v>1815</c:v>
                </c:pt>
                <c:pt idx="385">
                  <c:v>2189</c:v>
                </c:pt>
                <c:pt idx="386">
                  <c:v>2376</c:v>
                </c:pt>
                <c:pt idx="387">
                  <c:v>1525</c:v>
                </c:pt>
                <c:pt idx="388">
                  <c:v>1616</c:v>
                </c:pt>
                <c:pt idx="389">
                  <c:v>3757</c:v>
                </c:pt>
                <c:pt idx="390">
                  <c:v>3855</c:v>
                </c:pt>
                <c:pt idx="391">
                  <c:v>1897</c:v>
                </c:pt>
                <c:pt idx="392">
                  <c:v>2230</c:v>
                </c:pt>
                <c:pt idx="393">
                  <c:v>1870</c:v>
                </c:pt>
                <c:pt idx="394">
                  <c:v>1455</c:v>
                </c:pt>
                <c:pt idx="395">
                  <c:v>1392</c:v>
                </c:pt>
                <c:pt idx="396">
                  <c:v>3268</c:v>
                </c:pt>
                <c:pt idx="397">
                  <c:v>4862</c:v>
                </c:pt>
                <c:pt idx="398">
                  <c:v>4165</c:v>
                </c:pt>
                <c:pt idx="399">
                  <c:v>3685</c:v>
                </c:pt>
                <c:pt idx="400">
                  <c:v>2479</c:v>
                </c:pt>
                <c:pt idx="401">
                  <c:v>2005</c:v>
                </c:pt>
                <c:pt idx="402">
                  <c:v>1122</c:v>
                </c:pt>
                <c:pt idx="403">
                  <c:v>2082</c:v>
                </c:pt>
                <c:pt idx="404">
                  <c:v>2573</c:v>
                </c:pt>
                <c:pt idx="405">
                  <c:v>1774</c:v>
                </c:pt>
                <c:pt idx="406">
                  <c:v>2378</c:v>
                </c:pt>
                <c:pt idx="407">
                  <c:v>3677</c:v>
                </c:pt>
                <c:pt idx="408">
                  <c:v>4299</c:v>
                </c:pt>
                <c:pt idx="409">
                  <c:v>3674</c:v>
                </c:pt>
                <c:pt idx="410">
                  <c:v>9505</c:v>
                </c:pt>
                <c:pt idx="411">
                  <c:v>11237</c:v>
                </c:pt>
                <c:pt idx="412">
                  <c:v>5406</c:v>
                </c:pt>
                <c:pt idx="413">
                  <c:v>5846</c:v>
                </c:pt>
                <c:pt idx="414">
                  <c:v>3713</c:v>
                </c:pt>
                <c:pt idx="415">
                  <c:v>4270</c:v>
                </c:pt>
                <c:pt idx="416">
                  <c:v>3827</c:v>
                </c:pt>
                <c:pt idx="417">
                  <c:v>7770</c:v>
                </c:pt>
                <c:pt idx="418">
                  <c:v>7102</c:v>
                </c:pt>
                <c:pt idx="419">
                  <c:v>3608</c:v>
                </c:pt>
                <c:pt idx="420">
                  <c:v>2150</c:v>
                </c:pt>
                <c:pt idx="421">
                  <c:v>2530</c:v>
                </c:pt>
                <c:pt idx="422">
                  <c:v>5253</c:v>
                </c:pt>
                <c:pt idx="423">
                  <c:v>4171</c:v>
                </c:pt>
                <c:pt idx="424">
                  <c:v>8156</c:v>
                </c:pt>
                <c:pt idx="425">
                  <c:v>9296</c:v>
                </c:pt>
                <c:pt idx="426">
                  <c:v>6803</c:v>
                </c:pt>
                <c:pt idx="427">
                  <c:v>6221</c:v>
                </c:pt>
                <c:pt idx="428">
                  <c:v>6611</c:v>
                </c:pt>
                <c:pt idx="429">
                  <c:v>6843</c:v>
                </c:pt>
                <c:pt idx="430">
                  <c:v>3858</c:v>
                </c:pt>
                <c:pt idx="431">
                  <c:v>7128</c:v>
                </c:pt>
                <c:pt idx="432">
                  <c:v>8127</c:v>
                </c:pt>
                <c:pt idx="433">
                  <c:v>2966</c:v>
                </c:pt>
                <c:pt idx="434">
                  <c:v>2858</c:v>
                </c:pt>
                <c:pt idx="435">
                  <c:v>1518</c:v>
                </c:pt>
                <c:pt idx="436">
                  <c:v>1386</c:v>
                </c:pt>
                <c:pt idx="437">
                  <c:v>1166</c:v>
                </c:pt>
                <c:pt idx="438">
                  <c:v>2853</c:v>
                </c:pt>
                <c:pt idx="439">
                  <c:v>3657</c:v>
                </c:pt>
                <c:pt idx="440">
                  <c:v>1631</c:v>
                </c:pt>
                <c:pt idx="441">
                  <c:v>1959</c:v>
                </c:pt>
                <c:pt idx="442">
                  <c:v>1230</c:v>
                </c:pt>
                <c:pt idx="443">
                  <c:v>1182</c:v>
                </c:pt>
                <c:pt idx="444">
                  <c:v>1050</c:v>
                </c:pt>
                <c:pt idx="445">
                  <c:v>2353</c:v>
                </c:pt>
                <c:pt idx="446">
                  <c:v>2947</c:v>
                </c:pt>
                <c:pt idx="447">
                  <c:v>1626</c:v>
                </c:pt>
                <c:pt idx="448">
                  <c:v>1976</c:v>
                </c:pt>
                <c:pt idx="449">
                  <c:v>3312</c:v>
                </c:pt>
                <c:pt idx="450">
                  <c:v>6704</c:v>
                </c:pt>
                <c:pt idx="451">
                  <c:v>6077</c:v>
                </c:pt>
                <c:pt idx="452">
                  <c:v>9386</c:v>
                </c:pt>
                <c:pt idx="453">
                  <c:v>12181</c:v>
                </c:pt>
                <c:pt idx="454">
                  <c:v>5937</c:v>
                </c:pt>
                <c:pt idx="455">
                  <c:v>5706</c:v>
                </c:pt>
                <c:pt idx="456">
                  <c:v>9421</c:v>
                </c:pt>
                <c:pt idx="457">
                  <c:v>13207</c:v>
                </c:pt>
                <c:pt idx="458">
                  <c:v>18936</c:v>
                </c:pt>
                <c:pt idx="459">
                  <c:v>13503</c:v>
                </c:pt>
                <c:pt idx="460">
                  <c:v>10600</c:v>
                </c:pt>
                <c:pt idx="461">
                  <c:v>3591</c:v>
                </c:pt>
                <c:pt idx="462">
                  <c:v>4836</c:v>
                </c:pt>
                <c:pt idx="463">
                  <c:v>4348</c:v>
                </c:pt>
                <c:pt idx="464">
                  <c:v>2451</c:v>
                </c:pt>
                <c:pt idx="465">
                  <c:v>1814</c:v>
                </c:pt>
                <c:pt idx="466">
                  <c:v>2770</c:v>
                </c:pt>
                <c:pt idx="467">
                  <c:v>3072</c:v>
                </c:pt>
                <c:pt idx="468">
                  <c:v>1934</c:v>
                </c:pt>
                <c:pt idx="469">
                  <c:v>2019</c:v>
                </c:pt>
                <c:pt idx="470">
                  <c:v>979</c:v>
                </c:pt>
                <c:pt idx="471">
                  <c:v>1398</c:v>
                </c:pt>
                <c:pt idx="472">
                  <c:v>1198</c:v>
                </c:pt>
                <c:pt idx="473">
                  <c:v>2485</c:v>
                </c:pt>
                <c:pt idx="474">
                  <c:v>3172</c:v>
                </c:pt>
                <c:pt idx="475">
                  <c:v>1497</c:v>
                </c:pt>
                <c:pt idx="476">
                  <c:v>1365</c:v>
                </c:pt>
                <c:pt idx="477">
                  <c:v>1353</c:v>
                </c:pt>
                <c:pt idx="478">
                  <c:v>3439</c:v>
                </c:pt>
                <c:pt idx="479">
                  <c:v>1434</c:v>
                </c:pt>
                <c:pt idx="480">
                  <c:v>8892</c:v>
                </c:pt>
                <c:pt idx="481">
                  <c:v>13144</c:v>
                </c:pt>
                <c:pt idx="482">
                  <c:v>5179</c:v>
                </c:pt>
                <c:pt idx="483">
                  <c:v>5014</c:v>
                </c:pt>
                <c:pt idx="484">
                  <c:v>4936</c:v>
                </c:pt>
                <c:pt idx="485">
                  <c:v>5150</c:v>
                </c:pt>
                <c:pt idx="486">
                  <c:v>9986</c:v>
                </c:pt>
                <c:pt idx="487">
                  <c:v>12937</c:v>
                </c:pt>
                <c:pt idx="488">
                  <c:v>12217</c:v>
                </c:pt>
                <c:pt idx="489">
                  <c:v>6721</c:v>
                </c:pt>
                <c:pt idx="490">
                  <c:v>8283</c:v>
                </c:pt>
                <c:pt idx="491">
                  <c:v>6191</c:v>
                </c:pt>
                <c:pt idx="492">
                  <c:v>5959</c:v>
                </c:pt>
                <c:pt idx="493">
                  <c:v>2848</c:v>
                </c:pt>
                <c:pt idx="494">
                  <c:v>8748</c:v>
                </c:pt>
                <c:pt idx="495">
                  <c:v>10329</c:v>
                </c:pt>
                <c:pt idx="496">
                  <c:v>4410</c:v>
                </c:pt>
                <c:pt idx="497">
                  <c:v>5257</c:v>
                </c:pt>
                <c:pt idx="498">
                  <c:v>5118</c:v>
                </c:pt>
                <c:pt idx="499">
                  <c:v>4410</c:v>
                </c:pt>
                <c:pt idx="500">
                  <c:v>3952</c:v>
                </c:pt>
                <c:pt idx="501">
                  <c:v>10084</c:v>
                </c:pt>
                <c:pt idx="502">
                  <c:v>10964</c:v>
                </c:pt>
                <c:pt idx="503">
                  <c:v>4695</c:v>
                </c:pt>
                <c:pt idx="504">
                  <c:v>5205</c:v>
                </c:pt>
                <c:pt idx="505">
                  <c:v>3638</c:v>
                </c:pt>
                <c:pt idx="506">
                  <c:v>4394</c:v>
                </c:pt>
                <c:pt idx="507">
                  <c:v>2012</c:v>
                </c:pt>
                <c:pt idx="508">
                  <c:v>8526</c:v>
                </c:pt>
                <c:pt idx="509">
                  <c:v>11096</c:v>
                </c:pt>
                <c:pt idx="510">
                  <c:v>4489</c:v>
                </c:pt>
                <c:pt idx="511">
                  <c:v>6795</c:v>
                </c:pt>
                <c:pt idx="512">
                  <c:v>5283</c:v>
                </c:pt>
                <c:pt idx="513">
                  <c:v>6453</c:v>
                </c:pt>
                <c:pt idx="514">
                  <c:v>5770</c:v>
                </c:pt>
                <c:pt idx="515">
                  <c:v>12507</c:v>
                </c:pt>
                <c:pt idx="516">
                  <c:v>14475</c:v>
                </c:pt>
                <c:pt idx="517">
                  <c:v>7009</c:v>
                </c:pt>
                <c:pt idx="518">
                  <c:v>11688</c:v>
                </c:pt>
                <c:pt idx="519">
                  <c:v>8863</c:v>
                </c:pt>
                <c:pt idx="520">
                  <c:v>7148</c:v>
                </c:pt>
                <c:pt idx="521">
                  <c:v>5326</c:v>
                </c:pt>
                <c:pt idx="522">
                  <c:v>7775</c:v>
                </c:pt>
                <c:pt idx="523">
                  <c:v>9255</c:v>
                </c:pt>
                <c:pt idx="524">
                  <c:v>4758</c:v>
                </c:pt>
                <c:pt idx="525">
                  <c:v>2613</c:v>
                </c:pt>
                <c:pt idx="526">
                  <c:v>1830</c:v>
                </c:pt>
                <c:pt idx="527">
                  <c:v>1694</c:v>
                </c:pt>
                <c:pt idx="528">
                  <c:v>1642</c:v>
                </c:pt>
                <c:pt idx="529">
                  <c:v>3690</c:v>
                </c:pt>
                <c:pt idx="530">
                  <c:v>4404</c:v>
                </c:pt>
                <c:pt idx="531">
                  <c:v>1992</c:v>
                </c:pt>
                <c:pt idx="532">
                  <c:v>3557</c:v>
                </c:pt>
                <c:pt idx="533">
                  <c:v>2395</c:v>
                </c:pt>
                <c:pt idx="534">
                  <c:v>2120</c:v>
                </c:pt>
                <c:pt idx="535">
                  <c:v>1875</c:v>
                </c:pt>
                <c:pt idx="536">
                  <c:v>3376</c:v>
                </c:pt>
                <c:pt idx="537">
                  <c:v>4027</c:v>
                </c:pt>
                <c:pt idx="538">
                  <c:v>2128</c:v>
                </c:pt>
                <c:pt idx="539">
                  <c:v>2046</c:v>
                </c:pt>
                <c:pt idx="540">
                  <c:v>1546</c:v>
                </c:pt>
                <c:pt idx="541">
                  <c:v>2822</c:v>
                </c:pt>
                <c:pt idx="542">
                  <c:v>4865</c:v>
                </c:pt>
                <c:pt idx="543">
                  <c:v>8450</c:v>
                </c:pt>
                <c:pt idx="544">
                  <c:v>9770</c:v>
                </c:pt>
                <c:pt idx="545">
                  <c:v>4914</c:v>
                </c:pt>
                <c:pt idx="546">
                  <c:v>4385</c:v>
                </c:pt>
                <c:pt idx="547">
                  <c:v>5627</c:v>
                </c:pt>
                <c:pt idx="548">
                  <c:v>8086</c:v>
                </c:pt>
                <c:pt idx="549">
                  <c:v>6639</c:v>
                </c:pt>
                <c:pt idx="550">
                  <c:v>7104</c:v>
                </c:pt>
                <c:pt idx="551">
                  <c:v>8364</c:v>
                </c:pt>
                <c:pt idx="552">
                  <c:v>4146</c:v>
                </c:pt>
                <c:pt idx="553">
                  <c:v>4601</c:v>
                </c:pt>
                <c:pt idx="554">
                  <c:v>3593</c:v>
                </c:pt>
                <c:pt idx="555">
                  <c:v>2114</c:v>
                </c:pt>
                <c:pt idx="556">
                  <c:v>1797</c:v>
                </c:pt>
                <c:pt idx="557">
                  <c:v>3195</c:v>
                </c:pt>
                <c:pt idx="558">
                  <c:v>3595</c:v>
                </c:pt>
                <c:pt idx="559">
                  <c:v>1467</c:v>
                </c:pt>
                <c:pt idx="560">
                  <c:v>1610</c:v>
                </c:pt>
                <c:pt idx="561">
                  <c:v>1307</c:v>
                </c:pt>
                <c:pt idx="562">
                  <c:v>2050</c:v>
                </c:pt>
                <c:pt idx="563">
                  <c:v>1849</c:v>
                </c:pt>
                <c:pt idx="564">
                  <c:v>3070</c:v>
                </c:pt>
                <c:pt idx="565">
                  <c:v>3322</c:v>
                </c:pt>
                <c:pt idx="566">
                  <c:v>1982</c:v>
                </c:pt>
                <c:pt idx="567">
                  <c:v>1787</c:v>
                </c:pt>
                <c:pt idx="568">
                  <c:v>1846</c:v>
                </c:pt>
                <c:pt idx="569">
                  <c:v>1142</c:v>
                </c:pt>
                <c:pt idx="570">
                  <c:v>1734</c:v>
                </c:pt>
                <c:pt idx="571">
                  <c:v>3259</c:v>
                </c:pt>
                <c:pt idx="572">
                  <c:v>3572</c:v>
                </c:pt>
                <c:pt idx="573">
                  <c:v>2109</c:v>
                </c:pt>
                <c:pt idx="574">
                  <c:v>2242</c:v>
                </c:pt>
                <c:pt idx="575">
                  <c:v>1474</c:v>
                </c:pt>
                <c:pt idx="576">
                  <c:v>1381</c:v>
                </c:pt>
                <c:pt idx="577">
                  <c:v>1423</c:v>
                </c:pt>
                <c:pt idx="578">
                  <c:v>3740</c:v>
                </c:pt>
                <c:pt idx="579">
                  <c:v>4453</c:v>
                </c:pt>
                <c:pt idx="580">
                  <c:v>2258</c:v>
                </c:pt>
                <c:pt idx="581">
                  <c:v>2074</c:v>
                </c:pt>
                <c:pt idx="582">
                  <c:v>2007</c:v>
                </c:pt>
                <c:pt idx="583">
                  <c:v>1948</c:v>
                </c:pt>
                <c:pt idx="584">
                  <c:v>1922</c:v>
                </c:pt>
                <c:pt idx="585">
                  <c:v>3088</c:v>
                </c:pt>
                <c:pt idx="586">
                  <c:v>3388</c:v>
                </c:pt>
                <c:pt idx="587">
                  <c:v>1944</c:v>
                </c:pt>
                <c:pt idx="588">
                  <c:v>1812</c:v>
                </c:pt>
                <c:pt idx="589">
                  <c:v>1563</c:v>
                </c:pt>
                <c:pt idx="590">
                  <c:v>1171</c:v>
                </c:pt>
                <c:pt idx="591">
                  <c:v>1035</c:v>
                </c:pt>
                <c:pt idx="592">
                  <c:v>2247</c:v>
                </c:pt>
                <c:pt idx="593">
                  <c:v>3068</c:v>
                </c:pt>
                <c:pt idx="594">
                  <c:v>1866</c:v>
                </c:pt>
                <c:pt idx="595">
                  <c:v>1690</c:v>
                </c:pt>
                <c:pt idx="596">
                  <c:v>922</c:v>
                </c:pt>
                <c:pt idx="597">
                  <c:v>604</c:v>
                </c:pt>
                <c:pt idx="598">
                  <c:v>643</c:v>
                </c:pt>
                <c:pt idx="599">
                  <c:v>2006</c:v>
                </c:pt>
                <c:pt idx="600">
                  <c:v>2677</c:v>
                </c:pt>
                <c:pt idx="601">
                  <c:v>1467</c:v>
                </c:pt>
                <c:pt idx="602">
                  <c:v>1528</c:v>
                </c:pt>
                <c:pt idx="603">
                  <c:v>6360</c:v>
                </c:pt>
                <c:pt idx="604">
                  <c:v>8035</c:v>
                </c:pt>
                <c:pt idx="605">
                  <c:v>6675</c:v>
                </c:pt>
                <c:pt idx="606">
                  <c:v>11330</c:v>
                </c:pt>
                <c:pt idx="607">
                  <c:v>13484</c:v>
                </c:pt>
                <c:pt idx="608">
                  <c:v>5913</c:v>
                </c:pt>
                <c:pt idx="609">
                  <c:v>9721</c:v>
                </c:pt>
                <c:pt idx="610">
                  <c:v>11257</c:v>
                </c:pt>
                <c:pt idx="611">
                  <c:v>10102</c:v>
                </c:pt>
                <c:pt idx="612">
                  <c:v>7938</c:v>
                </c:pt>
                <c:pt idx="613">
                  <c:v>9936</c:v>
                </c:pt>
                <c:pt idx="614">
                  <c:v>10643</c:v>
                </c:pt>
                <c:pt idx="615">
                  <c:v>4800</c:v>
                </c:pt>
                <c:pt idx="616">
                  <c:v>5228</c:v>
                </c:pt>
                <c:pt idx="617">
                  <c:v>1810</c:v>
                </c:pt>
                <c:pt idx="618">
                  <c:v>1961</c:v>
                </c:pt>
                <c:pt idx="619">
                  <c:v>1232</c:v>
                </c:pt>
                <c:pt idx="620">
                  <c:v>2194</c:v>
                </c:pt>
                <c:pt idx="621">
                  <c:v>1469</c:v>
                </c:pt>
                <c:pt idx="622">
                  <c:v>829</c:v>
                </c:pt>
                <c:pt idx="623">
                  <c:v>1329</c:v>
                </c:pt>
                <c:pt idx="624">
                  <c:v>1300</c:v>
                </c:pt>
                <c:pt idx="625">
                  <c:v>773</c:v>
                </c:pt>
                <c:pt idx="626">
                  <c:v>760</c:v>
                </c:pt>
                <c:pt idx="627">
                  <c:v>1755</c:v>
                </c:pt>
                <c:pt idx="628">
                  <c:v>1766</c:v>
                </c:pt>
                <c:pt idx="629">
                  <c:v>1078</c:v>
                </c:pt>
                <c:pt idx="630">
                  <c:v>1124</c:v>
                </c:pt>
                <c:pt idx="631">
                  <c:v>1182</c:v>
                </c:pt>
                <c:pt idx="632">
                  <c:v>3725</c:v>
                </c:pt>
                <c:pt idx="633">
                  <c:v>4492</c:v>
                </c:pt>
                <c:pt idx="634">
                  <c:v>11030</c:v>
                </c:pt>
                <c:pt idx="635">
                  <c:v>10528</c:v>
                </c:pt>
                <c:pt idx="636">
                  <c:v>4895</c:v>
                </c:pt>
                <c:pt idx="637">
                  <c:v>5720</c:v>
                </c:pt>
                <c:pt idx="638">
                  <c:v>4288</c:v>
                </c:pt>
                <c:pt idx="639">
                  <c:v>9693</c:v>
                </c:pt>
                <c:pt idx="640">
                  <c:v>12065</c:v>
                </c:pt>
                <c:pt idx="641">
                  <c:v>11758</c:v>
                </c:pt>
                <c:pt idx="642">
                  <c:v>13508</c:v>
                </c:pt>
                <c:pt idx="643">
                  <c:v>6085</c:v>
                </c:pt>
                <c:pt idx="644">
                  <c:v>8828</c:v>
                </c:pt>
                <c:pt idx="645">
                  <c:v>6636</c:v>
                </c:pt>
                <c:pt idx="646">
                  <c:v>1622</c:v>
                </c:pt>
                <c:pt idx="647">
                  <c:v>1512</c:v>
                </c:pt>
                <c:pt idx="648">
                  <c:v>3211</c:v>
                </c:pt>
                <c:pt idx="649">
                  <c:v>3037</c:v>
                </c:pt>
                <c:pt idx="650">
                  <c:v>1456</c:v>
                </c:pt>
                <c:pt idx="651">
                  <c:v>1465</c:v>
                </c:pt>
                <c:pt idx="652">
                  <c:v>1018</c:v>
                </c:pt>
                <c:pt idx="653">
                  <c:v>1070</c:v>
                </c:pt>
                <c:pt idx="654">
                  <c:v>1357</c:v>
                </c:pt>
                <c:pt idx="655">
                  <c:v>2810</c:v>
                </c:pt>
                <c:pt idx="656">
                  <c:v>2829</c:v>
                </c:pt>
                <c:pt idx="657">
                  <c:v>1517</c:v>
                </c:pt>
                <c:pt idx="658">
                  <c:v>1399</c:v>
                </c:pt>
                <c:pt idx="659">
                  <c:v>1067</c:v>
                </c:pt>
                <c:pt idx="660">
                  <c:v>1361</c:v>
                </c:pt>
                <c:pt idx="661">
                  <c:v>1419</c:v>
                </c:pt>
                <c:pt idx="662">
                  <c:v>5042</c:v>
                </c:pt>
                <c:pt idx="663">
                  <c:v>6872</c:v>
                </c:pt>
                <c:pt idx="664">
                  <c:v>3218</c:v>
                </c:pt>
                <c:pt idx="665">
                  <c:v>3347</c:v>
                </c:pt>
                <c:pt idx="666">
                  <c:v>3177</c:v>
                </c:pt>
                <c:pt idx="667">
                  <c:v>4532</c:v>
                </c:pt>
                <c:pt idx="668">
                  <c:v>3231</c:v>
                </c:pt>
                <c:pt idx="669">
                  <c:v>7731</c:v>
                </c:pt>
                <c:pt idx="670">
                  <c:v>11148</c:v>
                </c:pt>
                <c:pt idx="671">
                  <c:v>7459</c:v>
                </c:pt>
                <c:pt idx="672">
                  <c:v>7316</c:v>
                </c:pt>
                <c:pt idx="673">
                  <c:v>5211</c:v>
                </c:pt>
                <c:pt idx="674">
                  <c:v>5731</c:v>
                </c:pt>
                <c:pt idx="675">
                  <c:v>3036</c:v>
                </c:pt>
                <c:pt idx="676">
                  <c:v>5822</c:v>
                </c:pt>
                <c:pt idx="677">
                  <c:v>7987</c:v>
                </c:pt>
                <c:pt idx="678">
                  <c:v>3640</c:v>
                </c:pt>
                <c:pt idx="679">
                  <c:v>2338</c:v>
                </c:pt>
                <c:pt idx="680">
                  <c:v>3744</c:v>
                </c:pt>
                <c:pt idx="681">
                  <c:v>4216</c:v>
                </c:pt>
                <c:pt idx="682">
                  <c:v>4000</c:v>
                </c:pt>
                <c:pt idx="683">
                  <c:v>10204</c:v>
                </c:pt>
                <c:pt idx="684">
                  <c:v>10769</c:v>
                </c:pt>
                <c:pt idx="685">
                  <c:v>4803</c:v>
                </c:pt>
                <c:pt idx="686">
                  <c:v>5042</c:v>
                </c:pt>
                <c:pt idx="687">
                  <c:v>4342</c:v>
                </c:pt>
                <c:pt idx="688">
                  <c:v>4202</c:v>
                </c:pt>
                <c:pt idx="689">
                  <c:v>4151</c:v>
                </c:pt>
                <c:pt idx="690">
                  <c:v>8567</c:v>
                </c:pt>
                <c:pt idx="691">
                  <c:v>8811</c:v>
                </c:pt>
                <c:pt idx="692">
                  <c:v>4345</c:v>
                </c:pt>
                <c:pt idx="693">
                  <c:v>1937</c:v>
                </c:pt>
                <c:pt idx="694">
                  <c:v>3160</c:v>
                </c:pt>
                <c:pt idx="695">
                  <c:v>6924</c:v>
                </c:pt>
                <c:pt idx="696">
                  <c:v>9273</c:v>
                </c:pt>
                <c:pt idx="697">
                  <c:v>11257</c:v>
                </c:pt>
                <c:pt idx="698">
                  <c:v>13019</c:v>
                </c:pt>
                <c:pt idx="699">
                  <c:v>7139</c:v>
                </c:pt>
                <c:pt idx="700">
                  <c:v>7423</c:v>
                </c:pt>
                <c:pt idx="701">
                  <c:v>7474</c:v>
                </c:pt>
                <c:pt idx="702">
                  <c:v>7056</c:v>
                </c:pt>
                <c:pt idx="703">
                  <c:v>5732</c:v>
                </c:pt>
                <c:pt idx="704">
                  <c:v>9038</c:v>
                </c:pt>
                <c:pt idx="705">
                  <c:v>10737</c:v>
                </c:pt>
                <c:pt idx="706">
                  <c:v>5505</c:v>
                </c:pt>
                <c:pt idx="707">
                  <c:v>2198</c:v>
                </c:pt>
                <c:pt idx="708">
                  <c:v>3190</c:v>
                </c:pt>
                <c:pt idx="709">
                  <c:v>3814</c:v>
                </c:pt>
                <c:pt idx="710">
                  <c:v>3610</c:v>
                </c:pt>
                <c:pt idx="711">
                  <c:v>6227</c:v>
                </c:pt>
                <c:pt idx="712">
                  <c:v>9422</c:v>
                </c:pt>
                <c:pt idx="713">
                  <c:v>5014</c:v>
                </c:pt>
                <c:pt idx="714">
                  <c:v>4715</c:v>
                </c:pt>
                <c:pt idx="715">
                  <c:v>6212</c:v>
                </c:pt>
                <c:pt idx="716">
                  <c:v>6585</c:v>
                </c:pt>
                <c:pt idx="717">
                  <c:v>6051</c:v>
                </c:pt>
                <c:pt idx="718">
                  <c:v>7750</c:v>
                </c:pt>
                <c:pt idx="719">
                  <c:v>9490</c:v>
                </c:pt>
                <c:pt idx="720">
                  <c:v>4382</c:v>
                </c:pt>
                <c:pt idx="721">
                  <c:v>8196</c:v>
                </c:pt>
                <c:pt idx="722">
                  <c:v>8863</c:v>
                </c:pt>
                <c:pt idx="723">
                  <c:v>6534</c:v>
                </c:pt>
                <c:pt idx="724">
                  <c:v>9540</c:v>
                </c:pt>
                <c:pt idx="725">
                  <c:v>3256</c:v>
                </c:pt>
                <c:pt idx="726">
                  <c:v>2013</c:v>
                </c:pt>
                <c:pt idx="727">
                  <c:v>1692</c:v>
                </c:pt>
                <c:pt idx="728">
                  <c:v>3234</c:v>
                </c:pt>
                <c:pt idx="729">
                  <c:v>4592</c:v>
                </c:pt>
                <c:pt idx="730">
                  <c:v>5945</c:v>
                </c:pt>
                <c:pt idx="731">
                  <c:v>9266</c:v>
                </c:pt>
                <c:pt idx="732">
                  <c:v>3179</c:v>
                </c:pt>
                <c:pt idx="733">
                  <c:v>7479</c:v>
                </c:pt>
                <c:pt idx="734">
                  <c:v>4694</c:v>
                </c:pt>
                <c:pt idx="735">
                  <c:v>7843</c:v>
                </c:pt>
                <c:pt idx="736">
                  <c:v>6150</c:v>
                </c:pt>
                <c:pt idx="737">
                  <c:v>2401</c:v>
                </c:pt>
                <c:pt idx="738">
                  <c:v>1808</c:v>
                </c:pt>
                <c:pt idx="739">
                  <c:v>2594</c:v>
                </c:pt>
                <c:pt idx="740">
                  <c:v>3274</c:v>
                </c:pt>
                <c:pt idx="741">
                  <c:v>2207</c:v>
                </c:pt>
                <c:pt idx="742">
                  <c:v>2949</c:v>
                </c:pt>
                <c:pt idx="743">
                  <c:v>2417</c:v>
                </c:pt>
                <c:pt idx="744">
                  <c:v>1644</c:v>
                </c:pt>
                <c:pt idx="745">
                  <c:v>1499</c:v>
                </c:pt>
                <c:pt idx="746">
                  <c:v>3648</c:v>
                </c:pt>
                <c:pt idx="747">
                  <c:v>4652</c:v>
                </c:pt>
                <c:pt idx="748">
                  <c:v>2252</c:v>
                </c:pt>
                <c:pt idx="749">
                  <c:v>2357</c:v>
                </c:pt>
                <c:pt idx="750">
                  <c:v>1715</c:v>
                </c:pt>
                <c:pt idx="751">
                  <c:v>4776</c:v>
                </c:pt>
                <c:pt idx="752">
                  <c:v>1628</c:v>
                </c:pt>
                <c:pt idx="753">
                  <c:v>7806</c:v>
                </c:pt>
                <c:pt idx="754">
                  <c:v>9210</c:v>
                </c:pt>
                <c:pt idx="755">
                  <c:v>4351</c:v>
                </c:pt>
                <c:pt idx="756">
                  <c:v>6278</c:v>
                </c:pt>
                <c:pt idx="757">
                  <c:v>5992</c:v>
                </c:pt>
                <c:pt idx="758">
                  <c:v>6265</c:v>
                </c:pt>
                <c:pt idx="759">
                  <c:v>5723</c:v>
                </c:pt>
                <c:pt idx="760">
                  <c:v>11900</c:v>
                </c:pt>
                <c:pt idx="761">
                  <c:v>15345</c:v>
                </c:pt>
                <c:pt idx="762">
                  <c:v>6525</c:v>
                </c:pt>
                <c:pt idx="763">
                  <c:v>10153</c:v>
                </c:pt>
                <c:pt idx="764">
                  <c:v>8116</c:v>
                </c:pt>
                <c:pt idx="765">
                  <c:v>7712</c:v>
                </c:pt>
                <c:pt idx="766">
                  <c:v>5759</c:v>
                </c:pt>
                <c:pt idx="767">
                  <c:v>9501</c:v>
                </c:pt>
                <c:pt idx="768">
                  <c:v>10840</c:v>
                </c:pt>
                <c:pt idx="769">
                  <c:v>5089</c:v>
                </c:pt>
                <c:pt idx="770">
                  <c:v>6087</c:v>
                </c:pt>
                <c:pt idx="771">
                  <c:v>2053</c:v>
                </c:pt>
                <c:pt idx="772">
                  <c:v>1825</c:v>
                </c:pt>
                <c:pt idx="773">
                  <c:v>1525</c:v>
                </c:pt>
                <c:pt idx="774">
                  <c:v>3542</c:v>
                </c:pt>
                <c:pt idx="775">
                  <c:v>4105</c:v>
                </c:pt>
                <c:pt idx="776">
                  <c:v>2094</c:v>
                </c:pt>
                <c:pt idx="777">
                  <c:v>2940</c:v>
                </c:pt>
                <c:pt idx="778">
                  <c:v>1841</c:v>
                </c:pt>
                <c:pt idx="779">
                  <c:v>4529</c:v>
                </c:pt>
                <c:pt idx="780">
                  <c:v>1658</c:v>
                </c:pt>
                <c:pt idx="781">
                  <c:v>3841</c:v>
                </c:pt>
                <c:pt idx="782">
                  <c:v>9260</c:v>
                </c:pt>
                <c:pt idx="783">
                  <c:v>2308</c:v>
                </c:pt>
                <c:pt idx="784">
                  <c:v>2028</c:v>
                </c:pt>
                <c:pt idx="785">
                  <c:v>1301</c:v>
                </c:pt>
                <c:pt idx="786">
                  <c:v>2213</c:v>
                </c:pt>
                <c:pt idx="787">
                  <c:v>4404</c:v>
                </c:pt>
                <c:pt idx="788">
                  <c:v>4935</c:v>
                </c:pt>
                <c:pt idx="789">
                  <c:v>5609</c:v>
                </c:pt>
                <c:pt idx="790">
                  <c:v>3452</c:v>
                </c:pt>
                <c:pt idx="791">
                  <c:v>4270</c:v>
                </c:pt>
                <c:pt idx="792">
                  <c:v>4719</c:v>
                </c:pt>
                <c:pt idx="793">
                  <c:v>4451</c:v>
                </c:pt>
                <c:pt idx="794">
                  <c:v>3364</c:v>
                </c:pt>
                <c:pt idx="795">
                  <c:v>3665</c:v>
                </c:pt>
                <c:pt idx="796">
                  <c:v>3889</c:v>
                </c:pt>
                <c:pt idx="797">
                  <c:v>1882</c:v>
                </c:pt>
                <c:pt idx="798">
                  <c:v>2405</c:v>
                </c:pt>
                <c:pt idx="799">
                  <c:v>1577</c:v>
                </c:pt>
                <c:pt idx="800">
                  <c:v>913</c:v>
                </c:pt>
                <c:pt idx="801">
                  <c:v>892</c:v>
                </c:pt>
                <c:pt idx="802">
                  <c:v>1855</c:v>
                </c:pt>
                <c:pt idx="803">
                  <c:v>1897</c:v>
                </c:pt>
                <c:pt idx="804">
                  <c:v>883</c:v>
                </c:pt>
                <c:pt idx="805">
                  <c:v>1071</c:v>
                </c:pt>
                <c:pt idx="806">
                  <c:v>1320</c:v>
                </c:pt>
                <c:pt idx="807">
                  <c:v>997</c:v>
                </c:pt>
                <c:pt idx="808">
                  <c:v>817</c:v>
                </c:pt>
                <c:pt idx="809">
                  <c:v>1866</c:v>
                </c:pt>
                <c:pt idx="810">
                  <c:v>2211</c:v>
                </c:pt>
                <c:pt idx="811">
                  <c:v>1304</c:v>
                </c:pt>
                <c:pt idx="812">
                  <c:v>1143</c:v>
                </c:pt>
                <c:pt idx="813">
                  <c:v>1573</c:v>
                </c:pt>
                <c:pt idx="814">
                  <c:v>2065</c:v>
                </c:pt>
                <c:pt idx="815">
                  <c:v>6588</c:v>
                </c:pt>
                <c:pt idx="816">
                  <c:v>5652</c:v>
                </c:pt>
                <c:pt idx="817">
                  <c:v>4103</c:v>
                </c:pt>
                <c:pt idx="818">
                  <c:v>1466</c:v>
                </c:pt>
                <c:pt idx="819">
                  <c:v>2162</c:v>
                </c:pt>
                <c:pt idx="820">
                  <c:v>2155</c:v>
                </c:pt>
                <c:pt idx="821">
                  <c:v>1746</c:v>
                </c:pt>
                <c:pt idx="822">
                  <c:v>3554</c:v>
                </c:pt>
                <c:pt idx="823">
                  <c:v>6282</c:v>
                </c:pt>
                <c:pt idx="824">
                  <c:v>5259</c:v>
                </c:pt>
                <c:pt idx="825">
                  <c:v>2446</c:v>
                </c:pt>
                <c:pt idx="826">
                  <c:v>3345</c:v>
                </c:pt>
                <c:pt idx="827">
                  <c:v>2048</c:v>
                </c:pt>
                <c:pt idx="828">
                  <c:v>1303</c:v>
                </c:pt>
                <c:pt idx="829">
                  <c:v>4413</c:v>
                </c:pt>
                <c:pt idx="830">
                  <c:v>7494</c:v>
                </c:pt>
                <c:pt idx="831">
                  <c:v>7738</c:v>
                </c:pt>
                <c:pt idx="832">
                  <c:v>2958</c:v>
                </c:pt>
                <c:pt idx="833">
                  <c:v>3713</c:v>
                </c:pt>
                <c:pt idx="834">
                  <c:v>3504</c:v>
                </c:pt>
                <c:pt idx="835">
                  <c:v>3534</c:v>
                </c:pt>
                <c:pt idx="836">
                  <c:v>4601</c:v>
                </c:pt>
                <c:pt idx="837">
                  <c:v>10045</c:v>
                </c:pt>
                <c:pt idx="838">
                  <c:v>9301</c:v>
                </c:pt>
                <c:pt idx="839">
                  <c:v>4678</c:v>
                </c:pt>
                <c:pt idx="840">
                  <c:v>4294</c:v>
                </c:pt>
                <c:pt idx="841">
                  <c:v>3606</c:v>
                </c:pt>
                <c:pt idx="842">
                  <c:v>4838</c:v>
                </c:pt>
                <c:pt idx="843">
                  <c:v>4914</c:v>
                </c:pt>
                <c:pt idx="844">
                  <c:v>10269</c:v>
                </c:pt>
                <c:pt idx="845">
                  <c:v>12317</c:v>
                </c:pt>
                <c:pt idx="846">
                  <c:v>5453</c:v>
                </c:pt>
                <c:pt idx="847">
                  <c:v>7372</c:v>
                </c:pt>
                <c:pt idx="848">
                  <c:v>8211</c:v>
                </c:pt>
                <c:pt idx="849">
                  <c:v>9182</c:v>
                </c:pt>
                <c:pt idx="850">
                  <c:v>7520</c:v>
                </c:pt>
                <c:pt idx="851">
                  <c:v>13321</c:v>
                </c:pt>
                <c:pt idx="852">
                  <c:v>16276</c:v>
                </c:pt>
                <c:pt idx="853">
                  <c:v>10388</c:v>
                </c:pt>
                <c:pt idx="854">
                  <c:v>8298</c:v>
                </c:pt>
                <c:pt idx="855">
                  <c:v>8717</c:v>
                </c:pt>
                <c:pt idx="856">
                  <c:v>8364</c:v>
                </c:pt>
                <c:pt idx="857">
                  <c:v>6968</c:v>
                </c:pt>
                <c:pt idx="858">
                  <c:v>9973</c:v>
                </c:pt>
                <c:pt idx="859">
                  <c:v>11363</c:v>
                </c:pt>
                <c:pt idx="860">
                  <c:v>4074</c:v>
                </c:pt>
                <c:pt idx="861">
                  <c:v>1579</c:v>
                </c:pt>
                <c:pt idx="862">
                  <c:v>1016</c:v>
                </c:pt>
                <c:pt idx="863">
                  <c:v>832</c:v>
                </c:pt>
                <c:pt idx="864">
                  <c:v>647</c:v>
                </c:pt>
                <c:pt idx="865">
                  <c:v>1898</c:v>
                </c:pt>
                <c:pt idx="866">
                  <c:v>1961</c:v>
                </c:pt>
                <c:pt idx="867">
                  <c:v>1224</c:v>
                </c:pt>
                <c:pt idx="868">
                  <c:v>1019</c:v>
                </c:pt>
                <c:pt idx="869">
                  <c:v>930</c:v>
                </c:pt>
                <c:pt idx="870">
                  <c:v>818</c:v>
                </c:pt>
                <c:pt idx="871">
                  <c:v>937</c:v>
                </c:pt>
                <c:pt idx="872">
                  <c:v>2302</c:v>
                </c:pt>
                <c:pt idx="873">
                  <c:v>2363</c:v>
                </c:pt>
                <c:pt idx="874">
                  <c:v>1466</c:v>
                </c:pt>
                <c:pt idx="875">
                  <c:v>1644</c:v>
                </c:pt>
                <c:pt idx="876">
                  <c:v>3224</c:v>
                </c:pt>
                <c:pt idx="877">
                  <c:v>7392</c:v>
                </c:pt>
                <c:pt idx="878">
                  <c:v>6138</c:v>
                </c:pt>
                <c:pt idx="879">
                  <c:v>10624</c:v>
                </c:pt>
                <c:pt idx="880">
                  <c:v>11590</c:v>
                </c:pt>
                <c:pt idx="881">
                  <c:v>5959</c:v>
                </c:pt>
                <c:pt idx="882">
                  <c:v>5048</c:v>
                </c:pt>
                <c:pt idx="883">
                  <c:v>7542</c:v>
                </c:pt>
                <c:pt idx="884">
                  <c:v>10761</c:v>
                </c:pt>
                <c:pt idx="885">
                  <c:v>8120</c:v>
                </c:pt>
                <c:pt idx="886">
                  <c:v>10896</c:v>
                </c:pt>
                <c:pt idx="887">
                  <c:v>11726</c:v>
                </c:pt>
                <c:pt idx="888">
                  <c:v>6007</c:v>
                </c:pt>
                <c:pt idx="889">
                  <c:v>5185</c:v>
                </c:pt>
                <c:pt idx="890">
                  <c:v>1675</c:v>
                </c:pt>
                <c:pt idx="891">
                  <c:v>4765</c:v>
                </c:pt>
                <c:pt idx="892">
                  <c:v>3953</c:v>
                </c:pt>
                <c:pt idx="893">
                  <c:v>7190</c:v>
                </c:pt>
                <c:pt idx="894">
                  <c:v>8577</c:v>
                </c:pt>
                <c:pt idx="895">
                  <c:v>3943</c:v>
                </c:pt>
                <c:pt idx="896">
                  <c:v>3707</c:v>
                </c:pt>
                <c:pt idx="897">
                  <c:v>3054</c:v>
                </c:pt>
                <c:pt idx="898">
                  <c:v>6541</c:v>
                </c:pt>
                <c:pt idx="899">
                  <c:v>5749</c:v>
                </c:pt>
                <c:pt idx="900">
                  <c:v>9385</c:v>
                </c:pt>
                <c:pt idx="901">
                  <c:v>9012</c:v>
                </c:pt>
                <c:pt idx="902">
                  <c:v>3831</c:v>
                </c:pt>
                <c:pt idx="903">
                  <c:v>4097</c:v>
                </c:pt>
                <c:pt idx="904">
                  <c:v>3509</c:v>
                </c:pt>
                <c:pt idx="905">
                  <c:v>953</c:v>
                </c:pt>
                <c:pt idx="906">
                  <c:v>4305</c:v>
                </c:pt>
                <c:pt idx="907">
                  <c:v>11667</c:v>
                </c:pt>
                <c:pt idx="908">
                  <c:v>13793</c:v>
                </c:pt>
                <c:pt idx="909">
                  <c:v>6641</c:v>
                </c:pt>
                <c:pt idx="910">
                  <c:v>7593</c:v>
                </c:pt>
                <c:pt idx="911">
                  <c:v>6007</c:v>
                </c:pt>
                <c:pt idx="912">
                  <c:v>6345</c:v>
                </c:pt>
                <c:pt idx="913">
                  <c:v>8482</c:v>
                </c:pt>
                <c:pt idx="914">
                  <c:v>14344</c:v>
                </c:pt>
                <c:pt idx="915">
                  <c:v>13609</c:v>
                </c:pt>
                <c:pt idx="916">
                  <c:v>7259</c:v>
                </c:pt>
                <c:pt idx="917">
                  <c:v>8431</c:v>
                </c:pt>
                <c:pt idx="918">
                  <c:v>6577</c:v>
                </c:pt>
                <c:pt idx="919">
                  <c:v>6098</c:v>
                </c:pt>
                <c:pt idx="920">
                  <c:v>1654</c:v>
                </c:pt>
                <c:pt idx="921">
                  <c:v>2073</c:v>
                </c:pt>
                <c:pt idx="922">
                  <c:v>1871</c:v>
                </c:pt>
                <c:pt idx="923">
                  <c:v>946</c:v>
                </c:pt>
                <c:pt idx="924">
                  <c:v>1090</c:v>
                </c:pt>
                <c:pt idx="925">
                  <c:v>876</c:v>
                </c:pt>
                <c:pt idx="926">
                  <c:v>790</c:v>
                </c:pt>
                <c:pt idx="927">
                  <c:v>723</c:v>
                </c:pt>
                <c:pt idx="928">
                  <c:v>1910</c:v>
                </c:pt>
                <c:pt idx="929">
                  <c:v>2266</c:v>
                </c:pt>
                <c:pt idx="930">
                  <c:v>1078</c:v>
                </c:pt>
                <c:pt idx="931">
                  <c:v>1227</c:v>
                </c:pt>
                <c:pt idx="932">
                  <c:v>900</c:v>
                </c:pt>
                <c:pt idx="933">
                  <c:v>1016</c:v>
                </c:pt>
                <c:pt idx="934">
                  <c:v>836</c:v>
                </c:pt>
                <c:pt idx="935">
                  <c:v>1454</c:v>
                </c:pt>
                <c:pt idx="936">
                  <c:v>1835</c:v>
                </c:pt>
                <c:pt idx="937">
                  <c:v>972</c:v>
                </c:pt>
                <c:pt idx="938">
                  <c:v>1024</c:v>
                </c:pt>
                <c:pt idx="939">
                  <c:v>1044</c:v>
                </c:pt>
                <c:pt idx="940">
                  <c:v>1611</c:v>
                </c:pt>
                <c:pt idx="941">
                  <c:v>1234</c:v>
                </c:pt>
                <c:pt idx="942">
                  <c:v>2223</c:v>
                </c:pt>
                <c:pt idx="943">
                  <c:v>2267</c:v>
                </c:pt>
                <c:pt idx="944">
                  <c:v>1415</c:v>
                </c:pt>
                <c:pt idx="945">
                  <c:v>1548</c:v>
                </c:pt>
                <c:pt idx="946">
                  <c:v>1679</c:v>
                </c:pt>
                <c:pt idx="947">
                  <c:v>1152</c:v>
                </c:pt>
                <c:pt idx="948">
                  <c:v>1101</c:v>
                </c:pt>
                <c:pt idx="949">
                  <c:v>1746</c:v>
                </c:pt>
                <c:pt idx="950">
                  <c:v>1700</c:v>
                </c:pt>
                <c:pt idx="951">
                  <c:v>715</c:v>
                </c:pt>
                <c:pt idx="952">
                  <c:v>897</c:v>
                </c:pt>
                <c:pt idx="953">
                  <c:v>733</c:v>
                </c:pt>
                <c:pt idx="954">
                  <c:v>4282</c:v>
                </c:pt>
                <c:pt idx="955">
                  <c:v>2867</c:v>
                </c:pt>
                <c:pt idx="956">
                  <c:v>6082</c:v>
                </c:pt>
                <c:pt idx="957">
                  <c:v>7771</c:v>
                </c:pt>
                <c:pt idx="958">
                  <c:v>3576</c:v>
                </c:pt>
                <c:pt idx="959">
                  <c:v>4649</c:v>
                </c:pt>
                <c:pt idx="960">
                  <c:v>3302</c:v>
                </c:pt>
                <c:pt idx="961">
                  <c:v>3536</c:v>
                </c:pt>
                <c:pt idx="962">
                  <c:v>3236</c:v>
                </c:pt>
                <c:pt idx="963">
                  <c:v>6646</c:v>
                </c:pt>
                <c:pt idx="964">
                  <c:v>7220</c:v>
                </c:pt>
                <c:pt idx="965">
                  <c:v>3958</c:v>
                </c:pt>
                <c:pt idx="966">
                  <c:v>3672</c:v>
                </c:pt>
                <c:pt idx="967">
                  <c:v>1035</c:v>
                </c:pt>
                <c:pt idx="968">
                  <c:v>3549</c:v>
                </c:pt>
                <c:pt idx="969">
                  <c:v>6647</c:v>
                </c:pt>
                <c:pt idx="970">
                  <c:v>9908</c:v>
                </c:pt>
                <c:pt idx="971">
                  <c:v>10393</c:v>
                </c:pt>
                <c:pt idx="972">
                  <c:v>4507</c:v>
                </c:pt>
                <c:pt idx="973">
                  <c:v>4672</c:v>
                </c:pt>
                <c:pt idx="974">
                  <c:v>3924</c:v>
                </c:pt>
                <c:pt idx="975">
                  <c:v>6918</c:v>
                </c:pt>
                <c:pt idx="976">
                  <c:v>9183</c:v>
                </c:pt>
                <c:pt idx="977">
                  <c:v>10830</c:v>
                </c:pt>
                <c:pt idx="978">
                  <c:v>10800</c:v>
                </c:pt>
                <c:pt idx="979">
                  <c:v>6119</c:v>
                </c:pt>
                <c:pt idx="980">
                  <c:v>6685</c:v>
                </c:pt>
                <c:pt idx="981">
                  <c:v>4519</c:v>
                </c:pt>
                <c:pt idx="982">
                  <c:v>1206</c:v>
                </c:pt>
                <c:pt idx="983">
                  <c:v>1029</c:v>
                </c:pt>
                <c:pt idx="984">
                  <c:v>1917</c:v>
                </c:pt>
                <c:pt idx="985">
                  <c:v>2108</c:v>
                </c:pt>
                <c:pt idx="986">
                  <c:v>1211</c:v>
                </c:pt>
                <c:pt idx="987">
                  <c:v>1291</c:v>
                </c:pt>
                <c:pt idx="988">
                  <c:v>755</c:v>
                </c:pt>
                <c:pt idx="989">
                  <c:v>508</c:v>
                </c:pt>
                <c:pt idx="990">
                  <c:v>1010</c:v>
                </c:pt>
                <c:pt idx="991">
                  <c:v>1733</c:v>
                </c:pt>
                <c:pt idx="992">
                  <c:v>2482</c:v>
                </c:pt>
                <c:pt idx="993">
                  <c:v>1235</c:v>
                </c:pt>
                <c:pt idx="994">
                  <c:v>1155</c:v>
                </c:pt>
                <c:pt idx="995">
                  <c:v>940</c:v>
                </c:pt>
                <c:pt idx="996">
                  <c:v>1241</c:v>
                </c:pt>
                <c:pt idx="997">
                  <c:v>1039</c:v>
                </c:pt>
                <c:pt idx="998">
                  <c:v>3657</c:v>
                </c:pt>
                <c:pt idx="999">
                  <c:v>3758</c:v>
                </c:pt>
                <c:pt idx="1000">
                  <c:v>1797</c:v>
                </c:pt>
                <c:pt idx="1001">
                  <c:v>1671</c:v>
                </c:pt>
                <c:pt idx="1002">
                  <c:v>1462</c:v>
                </c:pt>
                <c:pt idx="1003">
                  <c:v>1581</c:v>
                </c:pt>
                <c:pt idx="1004">
                  <c:v>1534</c:v>
                </c:pt>
                <c:pt idx="1005">
                  <c:v>4216</c:v>
                </c:pt>
                <c:pt idx="1006">
                  <c:v>5632</c:v>
                </c:pt>
                <c:pt idx="1007">
                  <c:v>3173</c:v>
                </c:pt>
                <c:pt idx="1008">
                  <c:v>3540</c:v>
                </c:pt>
                <c:pt idx="1009">
                  <c:v>2397</c:v>
                </c:pt>
                <c:pt idx="1010">
                  <c:v>1955</c:v>
                </c:pt>
                <c:pt idx="1011">
                  <c:v>1740</c:v>
                </c:pt>
                <c:pt idx="1012">
                  <c:v>2176</c:v>
                </c:pt>
                <c:pt idx="1013">
                  <c:v>2283</c:v>
                </c:pt>
                <c:pt idx="1014">
                  <c:v>1284</c:v>
                </c:pt>
                <c:pt idx="1015">
                  <c:v>1263</c:v>
                </c:pt>
                <c:pt idx="1016">
                  <c:v>896</c:v>
                </c:pt>
                <c:pt idx="1017">
                  <c:v>768</c:v>
                </c:pt>
                <c:pt idx="1018">
                  <c:v>521</c:v>
                </c:pt>
                <c:pt idx="1019">
                  <c:v>1618</c:v>
                </c:pt>
                <c:pt idx="1020">
                  <c:v>2147</c:v>
                </c:pt>
                <c:pt idx="1021">
                  <c:v>1335</c:v>
                </c:pt>
                <c:pt idx="1022">
                  <c:v>1332</c:v>
                </c:pt>
                <c:pt idx="1023">
                  <c:v>954</c:v>
                </c:pt>
                <c:pt idx="1024">
                  <c:v>877</c:v>
                </c:pt>
                <c:pt idx="1025">
                  <c:v>906</c:v>
                </c:pt>
                <c:pt idx="1026">
                  <c:v>2249</c:v>
                </c:pt>
                <c:pt idx="1027">
                  <c:v>2472</c:v>
                </c:pt>
                <c:pt idx="1028">
                  <c:v>1280</c:v>
                </c:pt>
                <c:pt idx="1029">
                  <c:v>940</c:v>
                </c:pt>
                <c:pt idx="1030">
                  <c:v>1650</c:v>
                </c:pt>
                <c:pt idx="1031">
                  <c:v>1467</c:v>
                </c:pt>
                <c:pt idx="1032">
                  <c:v>1257</c:v>
                </c:pt>
                <c:pt idx="1033">
                  <c:v>2405</c:v>
                </c:pt>
                <c:pt idx="1034">
                  <c:v>2929</c:v>
                </c:pt>
                <c:pt idx="1035">
                  <c:v>1582</c:v>
                </c:pt>
                <c:pt idx="1036">
                  <c:v>1639</c:v>
                </c:pt>
                <c:pt idx="1037">
                  <c:v>2971</c:v>
                </c:pt>
                <c:pt idx="1038">
                  <c:v>2284</c:v>
                </c:pt>
                <c:pt idx="1039">
                  <c:v>2266</c:v>
                </c:pt>
                <c:pt idx="1040">
                  <c:v>3938</c:v>
                </c:pt>
                <c:pt idx="1041">
                  <c:v>4720</c:v>
                </c:pt>
                <c:pt idx="1042">
                  <c:v>2537</c:v>
                </c:pt>
                <c:pt idx="1043">
                  <c:v>2621</c:v>
                </c:pt>
                <c:pt idx="1044">
                  <c:v>2341</c:v>
                </c:pt>
                <c:pt idx="1045">
                  <c:v>1901</c:v>
                </c:pt>
                <c:pt idx="1046">
                  <c:v>1666</c:v>
                </c:pt>
                <c:pt idx="1047">
                  <c:v>3748</c:v>
                </c:pt>
                <c:pt idx="1048">
                  <c:v>3843</c:v>
                </c:pt>
                <c:pt idx="1049">
                  <c:v>2281</c:v>
                </c:pt>
                <c:pt idx="1050">
                  <c:v>2046</c:v>
                </c:pt>
                <c:pt idx="1051">
                  <c:v>2181</c:v>
                </c:pt>
                <c:pt idx="1052">
                  <c:v>1763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485635"/>
        <c:axId val="7626121"/>
      </c:lineChart>
      <c:catAx>
        <c:axId val="960905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38347"/>
        <c:crosses val="autoZero"/>
        <c:auto val="1"/>
        <c:lblAlgn val="ctr"/>
        <c:lblOffset val="100"/>
        <c:noMultiLvlLbl val="0"/>
      </c:catAx>
      <c:valAx>
        <c:axId val="924383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per Unit (R)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90581"/>
        <c:crosses val="autoZero"/>
        <c:crossBetween val="between"/>
      </c:valAx>
      <c:catAx>
        <c:axId val="12485635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6121"/>
        <c:crosses val="autoZero"/>
        <c:auto val="1"/>
        <c:lblAlgn val="ctr"/>
        <c:lblOffset val="100"/>
        <c:noMultiLvlLbl val="0"/>
      </c:catAx>
      <c:valAx>
        <c:axId val="762612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Quantity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85635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Gross Profit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Pivot'!F1</c:f>
              <c:strCache>
                <c:ptCount val="1"/>
                <c:pt idx="0">
                  <c:v>Gross Profit %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Pivot'!$A$2:$A$37</c:f>
              <c:strCache>
                <c:ptCount val="36"/>
                <c:pt idx="0">
                  <c:v>Dec-2013</c:v>
                </c:pt>
                <c:pt idx="1">
                  <c:v>Jan-2014</c:v>
                </c:pt>
                <c:pt idx="2">
                  <c:v>Feb-2014</c:v>
                </c:pt>
                <c:pt idx="3">
                  <c:v>Mar-2014</c:v>
                </c:pt>
                <c:pt idx="4">
                  <c:v>Apr-2014</c:v>
                </c:pt>
                <c:pt idx="5">
                  <c:v>May-2014</c:v>
                </c:pt>
                <c:pt idx="6">
                  <c:v>Jun-2014</c:v>
                </c:pt>
                <c:pt idx="7">
                  <c:v>Jul-2014</c:v>
                </c:pt>
                <c:pt idx="8">
                  <c:v>Aug-2014</c:v>
                </c:pt>
                <c:pt idx="9">
                  <c:v>Sep-2014</c:v>
                </c:pt>
                <c:pt idx="10">
                  <c:v>Oct-2014</c:v>
                </c:pt>
                <c:pt idx="11">
                  <c:v>Nov-2014</c:v>
                </c:pt>
                <c:pt idx="12">
                  <c:v>Dec-2014</c:v>
                </c:pt>
                <c:pt idx="13">
                  <c:v>Jan-2015</c:v>
                </c:pt>
                <c:pt idx="14">
                  <c:v>Feb-2015</c:v>
                </c:pt>
                <c:pt idx="15">
                  <c:v>Mar-2015</c:v>
                </c:pt>
                <c:pt idx="16">
                  <c:v>Apr-2015</c:v>
                </c:pt>
                <c:pt idx="17">
                  <c:v>May-2015</c:v>
                </c:pt>
                <c:pt idx="18">
                  <c:v>Jun-2015</c:v>
                </c:pt>
                <c:pt idx="19">
                  <c:v>Jul-2015</c:v>
                </c:pt>
                <c:pt idx="20">
                  <c:v>Aug-2015</c:v>
                </c:pt>
                <c:pt idx="21">
                  <c:v>Sep-2015</c:v>
                </c:pt>
                <c:pt idx="22">
                  <c:v>Oct-2015</c:v>
                </c:pt>
                <c:pt idx="23">
                  <c:v>Nov-2015</c:v>
                </c:pt>
                <c:pt idx="24">
                  <c:v>Dec-2015</c:v>
                </c:pt>
                <c:pt idx="25">
                  <c:v>Jan-2016</c:v>
                </c:pt>
                <c:pt idx="26">
                  <c:v>Feb-2016</c:v>
                </c:pt>
                <c:pt idx="27">
                  <c:v>Mar-2016</c:v>
                </c:pt>
                <c:pt idx="28">
                  <c:v>Apr-2016</c:v>
                </c:pt>
                <c:pt idx="29">
                  <c:v>May-2016</c:v>
                </c:pt>
                <c:pt idx="30">
                  <c:v>Jun-2016</c:v>
                </c:pt>
                <c:pt idx="31">
                  <c:v>Jul-2016</c:v>
                </c:pt>
                <c:pt idx="32">
                  <c:v>Aug-2016</c:v>
                </c:pt>
                <c:pt idx="33">
                  <c:v>Sep-2016</c:v>
                </c:pt>
                <c:pt idx="34">
                  <c:v>Oct-2016</c:v>
                </c:pt>
                <c:pt idx="35">
                  <c:v>Nov-2016</c:v>
                </c:pt>
              </c:strCache>
            </c:strRef>
          </c:cat>
          <c:val>
            <c:numRef>
              <c:f>'Monthly Pivot'!$F$2:$F$37</c:f>
              <c:numCache>
                <c:formatCode>0.0%</c:formatCode>
                <c:ptCount val="36"/>
                <c:pt idx="0">
                  <c:v>-0.0243804930399442</c:v>
                </c:pt>
                <c:pt idx="1">
                  <c:v>0.00310880346781533</c:v>
                </c:pt>
                <c:pt idx="2">
                  <c:v>-0.0230069510610809</c:v>
                </c:pt>
                <c:pt idx="3">
                  <c:v>-0.0164426065395352</c:v>
                </c:pt>
                <c:pt idx="4">
                  <c:v>-0.00682133351548702</c:v>
                </c:pt>
                <c:pt idx="5">
                  <c:v>-0.0418893040628887</c:v>
                </c:pt>
                <c:pt idx="6">
                  <c:v>-0.0292553289463093</c:v>
                </c:pt>
                <c:pt idx="7">
                  <c:v>-0.0144281057601864</c:v>
                </c:pt>
                <c:pt idx="8">
                  <c:v>-0.0513521189898403</c:v>
                </c:pt>
                <c:pt idx="9">
                  <c:v>-0.0719710549869534</c:v>
                </c:pt>
                <c:pt idx="10">
                  <c:v>-0.0192040534197225</c:v>
                </c:pt>
                <c:pt idx="11">
                  <c:v>0.0434105544681967</c:v>
                </c:pt>
                <c:pt idx="12">
                  <c:v>-0.0568373216678922</c:v>
                </c:pt>
                <c:pt idx="13">
                  <c:v>-0.0419537132317108</c:v>
                </c:pt>
                <c:pt idx="14">
                  <c:v>-0.0510560287534809</c:v>
                </c:pt>
                <c:pt idx="15">
                  <c:v>-0.0626789584646225</c:v>
                </c:pt>
                <c:pt idx="16">
                  <c:v>-0.0541046316257581</c:v>
                </c:pt>
                <c:pt idx="17">
                  <c:v>-0.0702896999275463</c:v>
                </c:pt>
                <c:pt idx="18">
                  <c:v>-0.0354113296547111</c:v>
                </c:pt>
                <c:pt idx="19">
                  <c:v>-0.0411932686950935</c:v>
                </c:pt>
                <c:pt idx="20">
                  <c:v>-0.0702114887911076</c:v>
                </c:pt>
                <c:pt idx="21">
                  <c:v>-0.0759320000542416</c:v>
                </c:pt>
                <c:pt idx="22">
                  <c:v>-0.0717582907919196</c:v>
                </c:pt>
                <c:pt idx="23">
                  <c:v>-0.0918737982350312</c:v>
                </c:pt>
                <c:pt idx="24">
                  <c:v>-0.0489140627531256</c:v>
                </c:pt>
                <c:pt idx="25">
                  <c:v>-0.0470568104751619</c:v>
                </c:pt>
                <c:pt idx="26">
                  <c:v>0.000527131334000122</c:v>
                </c:pt>
                <c:pt idx="27">
                  <c:v>0.0115366448836187</c:v>
                </c:pt>
                <c:pt idx="28">
                  <c:v>-0.0707315914671006</c:v>
                </c:pt>
                <c:pt idx="29">
                  <c:v>-0.0325251907063588</c:v>
                </c:pt>
                <c:pt idx="30">
                  <c:v>-0.0586629415235012</c:v>
                </c:pt>
                <c:pt idx="31">
                  <c:v>0.01697176594662</c:v>
                </c:pt>
                <c:pt idx="32">
                  <c:v>-0.0314178889472787</c:v>
                </c:pt>
                <c:pt idx="33">
                  <c:v>0.0151386932900487</c:v>
                </c:pt>
                <c:pt idx="34">
                  <c:v>0.0944376708136968</c:v>
                </c:pt>
                <c:pt idx="35">
                  <c:v>0.0683711197324197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375167"/>
        <c:axId val="48943818"/>
      </c:lineChart>
      <c:catAx>
        <c:axId val="423751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43818"/>
        <c:crosses val="autoZero"/>
        <c:auto val="1"/>
        <c:lblAlgn val="ctr"/>
        <c:lblOffset val="100"/>
        <c:noMultiLvlLbl val="0"/>
      </c:catAx>
      <c:valAx>
        <c:axId val="489438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Gross Profit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751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(R) vs Quantity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Pivot'!B1</c:f>
              <c:strCache>
                <c:ptCount val="1"/>
                <c:pt idx="0">
                  <c:v>Total Sales (R)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Pivot'!$A$2:$A$37</c:f>
              <c:strCache>
                <c:ptCount val="36"/>
                <c:pt idx="0">
                  <c:v>Dec-2013</c:v>
                </c:pt>
                <c:pt idx="1">
                  <c:v>Jan-2014</c:v>
                </c:pt>
                <c:pt idx="2">
                  <c:v>Feb-2014</c:v>
                </c:pt>
                <c:pt idx="3">
                  <c:v>Mar-2014</c:v>
                </c:pt>
                <c:pt idx="4">
                  <c:v>Apr-2014</c:v>
                </c:pt>
                <c:pt idx="5">
                  <c:v>May-2014</c:v>
                </c:pt>
                <c:pt idx="6">
                  <c:v>Jun-2014</c:v>
                </c:pt>
                <c:pt idx="7">
                  <c:v>Jul-2014</c:v>
                </c:pt>
                <c:pt idx="8">
                  <c:v>Aug-2014</c:v>
                </c:pt>
                <c:pt idx="9">
                  <c:v>Sep-2014</c:v>
                </c:pt>
                <c:pt idx="10">
                  <c:v>Oct-2014</c:v>
                </c:pt>
                <c:pt idx="11">
                  <c:v>Nov-2014</c:v>
                </c:pt>
                <c:pt idx="12">
                  <c:v>Dec-2014</c:v>
                </c:pt>
                <c:pt idx="13">
                  <c:v>Jan-2015</c:v>
                </c:pt>
                <c:pt idx="14">
                  <c:v>Feb-2015</c:v>
                </c:pt>
                <c:pt idx="15">
                  <c:v>Mar-2015</c:v>
                </c:pt>
                <c:pt idx="16">
                  <c:v>Apr-2015</c:v>
                </c:pt>
                <c:pt idx="17">
                  <c:v>May-2015</c:v>
                </c:pt>
                <c:pt idx="18">
                  <c:v>Jun-2015</c:v>
                </c:pt>
                <c:pt idx="19">
                  <c:v>Jul-2015</c:v>
                </c:pt>
                <c:pt idx="20">
                  <c:v>Aug-2015</c:v>
                </c:pt>
                <c:pt idx="21">
                  <c:v>Sep-2015</c:v>
                </c:pt>
                <c:pt idx="22">
                  <c:v>Oct-2015</c:v>
                </c:pt>
                <c:pt idx="23">
                  <c:v>Nov-2015</c:v>
                </c:pt>
                <c:pt idx="24">
                  <c:v>Dec-2015</c:v>
                </c:pt>
                <c:pt idx="25">
                  <c:v>Jan-2016</c:v>
                </c:pt>
                <c:pt idx="26">
                  <c:v>Feb-2016</c:v>
                </c:pt>
                <c:pt idx="27">
                  <c:v>Mar-2016</c:v>
                </c:pt>
                <c:pt idx="28">
                  <c:v>Apr-2016</c:v>
                </c:pt>
                <c:pt idx="29">
                  <c:v>May-2016</c:v>
                </c:pt>
                <c:pt idx="30">
                  <c:v>Jun-2016</c:v>
                </c:pt>
                <c:pt idx="31">
                  <c:v>Jul-2016</c:v>
                </c:pt>
                <c:pt idx="32">
                  <c:v>Aug-2016</c:v>
                </c:pt>
                <c:pt idx="33">
                  <c:v>Sep-2016</c:v>
                </c:pt>
                <c:pt idx="34">
                  <c:v>Oct-2016</c:v>
                </c:pt>
                <c:pt idx="35">
                  <c:v>Nov-2016</c:v>
                </c:pt>
              </c:strCache>
            </c:strRef>
          </c:cat>
          <c:val>
            <c:numRef>
              <c:f>'Monthly Pivot'!$B$2:$B$37</c:f>
              <c:numCache>
                <c:formatCode>#,##0.00</c:formatCode>
                <c:ptCount val="36"/>
                <c:pt idx="0">
                  <c:v>524283.452433713</c:v>
                </c:pt>
                <c:pt idx="1">
                  <c:v>4008180.48884024</c:v>
                </c:pt>
                <c:pt idx="2">
                  <c:v>5780487.17532102</c:v>
                </c:pt>
                <c:pt idx="3">
                  <c:v>8279517.17612846</c:v>
                </c:pt>
                <c:pt idx="4">
                  <c:v>6435743.27385559</c:v>
                </c:pt>
                <c:pt idx="5">
                  <c:v>7694906.15369268</c:v>
                </c:pt>
                <c:pt idx="6">
                  <c:v>6456943.64663631</c:v>
                </c:pt>
                <c:pt idx="7">
                  <c:v>4933710.80070922</c:v>
                </c:pt>
                <c:pt idx="8">
                  <c:v>10010378.2877578</c:v>
                </c:pt>
                <c:pt idx="9">
                  <c:v>7643452.6856599</c:v>
                </c:pt>
                <c:pt idx="10">
                  <c:v>5924683.38116296</c:v>
                </c:pt>
                <c:pt idx="11">
                  <c:v>2631353.34311266</c:v>
                </c:pt>
                <c:pt idx="12">
                  <c:v>5615619.29882374</c:v>
                </c:pt>
                <c:pt idx="13">
                  <c:v>3696191.50790871</c:v>
                </c:pt>
                <c:pt idx="14">
                  <c:v>4901504.89312981</c:v>
                </c:pt>
                <c:pt idx="15">
                  <c:v>5269353.15269244</c:v>
                </c:pt>
                <c:pt idx="16">
                  <c:v>5963993.96776295</c:v>
                </c:pt>
                <c:pt idx="17">
                  <c:v>8384367.24115292</c:v>
                </c:pt>
                <c:pt idx="18">
                  <c:v>5332108.32336354</c:v>
                </c:pt>
                <c:pt idx="19">
                  <c:v>3677692.39405612</c:v>
                </c:pt>
                <c:pt idx="20">
                  <c:v>3934668.408063</c:v>
                </c:pt>
                <c:pt idx="21">
                  <c:v>4669899.85861668</c:v>
                </c:pt>
                <c:pt idx="22">
                  <c:v>4828975.07950143</c:v>
                </c:pt>
                <c:pt idx="23">
                  <c:v>6538148.88332874</c:v>
                </c:pt>
                <c:pt idx="24">
                  <c:v>6820689.67764691</c:v>
                </c:pt>
                <c:pt idx="25">
                  <c:v>5403090.50925758</c:v>
                </c:pt>
                <c:pt idx="26">
                  <c:v>4891882.308156</c:v>
                </c:pt>
                <c:pt idx="27">
                  <c:v>2951856.0057579</c:v>
                </c:pt>
                <c:pt idx="28">
                  <c:v>6656880.17616495</c:v>
                </c:pt>
                <c:pt idx="29">
                  <c:v>5170231.85490041</c:v>
                </c:pt>
                <c:pt idx="30">
                  <c:v>6771134.9382742</c:v>
                </c:pt>
                <c:pt idx="31">
                  <c:v>3324825.43161598</c:v>
                </c:pt>
                <c:pt idx="32">
                  <c:v>4343329.4138205</c:v>
                </c:pt>
                <c:pt idx="33">
                  <c:v>3259542.50174151</c:v>
                </c:pt>
                <c:pt idx="34">
                  <c:v>2329172.70277017</c:v>
                </c:pt>
                <c:pt idx="35">
                  <c:v>1851029.86266632</c:v>
                </c:pt>
              </c:numCache>
            </c:numRef>
          </c:val>
        </c:ser>
        <c:gapWidth val="150"/>
        <c:overlap val="0"/>
        <c:axId val="19576590"/>
        <c:axId val="32031340"/>
      </c:barChart>
      <c:lineChart>
        <c:grouping val="standard"/>
        <c:varyColors val="0"/>
        <c:ser>
          <c:idx val="1"/>
          <c:order val="1"/>
          <c:tx>
            <c:strRef>
              <c:f>'Monthly Pivot'!D1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Pivot'!$A$2:$A$37</c:f>
              <c:strCache>
                <c:ptCount val="36"/>
                <c:pt idx="0">
                  <c:v>Dec-2013</c:v>
                </c:pt>
                <c:pt idx="1">
                  <c:v>Jan-2014</c:v>
                </c:pt>
                <c:pt idx="2">
                  <c:v>Feb-2014</c:v>
                </c:pt>
                <c:pt idx="3">
                  <c:v>Mar-2014</c:v>
                </c:pt>
                <c:pt idx="4">
                  <c:v>Apr-2014</c:v>
                </c:pt>
                <c:pt idx="5">
                  <c:v>May-2014</c:v>
                </c:pt>
                <c:pt idx="6">
                  <c:v>Jun-2014</c:v>
                </c:pt>
                <c:pt idx="7">
                  <c:v>Jul-2014</c:v>
                </c:pt>
                <c:pt idx="8">
                  <c:v>Aug-2014</c:v>
                </c:pt>
                <c:pt idx="9">
                  <c:v>Sep-2014</c:v>
                </c:pt>
                <c:pt idx="10">
                  <c:v>Oct-2014</c:v>
                </c:pt>
                <c:pt idx="11">
                  <c:v>Nov-2014</c:v>
                </c:pt>
                <c:pt idx="12">
                  <c:v>Dec-2014</c:v>
                </c:pt>
                <c:pt idx="13">
                  <c:v>Jan-2015</c:v>
                </c:pt>
                <c:pt idx="14">
                  <c:v>Feb-2015</c:v>
                </c:pt>
                <c:pt idx="15">
                  <c:v>Mar-2015</c:v>
                </c:pt>
                <c:pt idx="16">
                  <c:v>Apr-2015</c:v>
                </c:pt>
                <c:pt idx="17">
                  <c:v>May-2015</c:v>
                </c:pt>
                <c:pt idx="18">
                  <c:v>Jun-2015</c:v>
                </c:pt>
                <c:pt idx="19">
                  <c:v>Jul-2015</c:v>
                </c:pt>
                <c:pt idx="20">
                  <c:v>Aug-2015</c:v>
                </c:pt>
                <c:pt idx="21">
                  <c:v>Sep-2015</c:v>
                </c:pt>
                <c:pt idx="22">
                  <c:v>Oct-2015</c:v>
                </c:pt>
                <c:pt idx="23">
                  <c:v>Nov-2015</c:v>
                </c:pt>
                <c:pt idx="24">
                  <c:v>Dec-2015</c:v>
                </c:pt>
                <c:pt idx="25">
                  <c:v>Jan-2016</c:v>
                </c:pt>
                <c:pt idx="26">
                  <c:v>Feb-2016</c:v>
                </c:pt>
                <c:pt idx="27">
                  <c:v>Mar-2016</c:v>
                </c:pt>
                <c:pt idx="28">
                  <c:v>Apr-2016</c:v>
                </c:pt>
                <c:pt idx="29">
                  <c:v>May-2016</c:v>
                </c:pt>
                <c:pt idx="30">
                  <c:v>Jun-2016</c:v>
                </c:pt>
                <c:pt idx="31">
                  <c:v>Jul-2016</c:v>
                </c:pt>
                <c:pt idx="32">
                  <c:v>Aug-2016</c:v>
                </c:pt>
                <c:pt idx="33">
                  <c:v>Sep-2016</c:v>
                </c:pt>
                <c:pt idx="34">
                  <c:v>Oct-2016</c:v>
                </c:pt>
                <c:pt idx="35">
                  <c:v>Nov-2016</c:v>
                </c:pt>
              </c:strCache>
            </c:strRef>
          </c:cat>
          <c:val>
            <c:numRef>
              <c:f>'Monthly Pivot'!$D$2:$D$37</c:f>
              <c:numCache>
                <c:formatCode>#,##0</c:formatCode>
                <c:ptCount val="36"/>
                <c:pt idx="0">
                  <c:v>16095</c:v>
                </c:pt>
                <c:pt idx="1">
                  <c:v>119965</c:v>
                </c:pt>
                <c:pt idx="2">
                  <c:v>178035</c:v>
                </c:pt>
                <c:pt idx="3">
                  <c:v>252836</c:v>
                </c:pt>
                <c:pt idx="4">
                  <c:v>190091</c:v>
                </c:pt>
                <c:pt idx="5">
                  <c:v>235793</c:v>
                </c:pt>
                <c:pt idx="6">
                  <c:v>198857</c:v>
                </c:pt>
                <c:pt idx="7">
                  <c:v>147449</c:v>
                </c:pt>
                <c:pt idx="8">
                  <c:v>310572</c:v>
                </c:pt>
                <c:pt idx="9">
                  <c:v>237742</c:v>
                </c:pt>
                <c:pt idx="10">
                  <c:v>171709</c:v>
                </c:pt>
                <c:pt idx="11">
                  <c:v>68569</c:v>
                </c:pt>
                <c:pt idx="12">
                  <c:v>142612</c:v>
                </c:pt>
                <c:pt idx="13">
                  <c:v>91740</c:v>
                </c:pt>
                <c:pt idx="14">
                  <c:v>127753</c:v>
                </c:pt>
                <c:pt idx="15">
                  <c:v>136673</c:v>
                </c:pt>
                <c:pt idx="16">
                  <c:v>153702</c:v>
                </c:pt>
                <c:pt idx="17">
                  <c:v>220775</c:v>
                </c:pt>
                <c:pt idx="18">
                  <c:v>136581</c:v>
                </c:pt>
                <c:pt idx="19">
                  <c:v>95600</c:v>
                </c:pt>
                <c:pt idx="20">
                  <c:v>108899</c:v>
                </c:pt>
                <c:pt idx="21">
                  <c:v>134837</c:v>
                </c:pt>
                <c:pt idx="22">
                  <c:v>135328</c:v>
                </c:pt>
                <c:pt idx="23">
                  <c:v>185868</c:v>
                </c:pt>
                <c:pt idx="24">
                  <c:v>187333</c:v>
                </c:pt>
                <c:pt idx="25">
                  <c:v>150561</c:v>
                </c:pt>
                <c:pt idx="26">
                  <c:v>132990</c:v>
                </c:pt>
                <c:pt idx="27">
                  <c:v>74185</c:v>
                </c:pt>
                <c:pt idx="28">
                  <c:v>190235</c:v>
                </c:pt>
                <c:pt idx="29">
                  <c:v>146298</c:v>
                </c:pt>
                <c:pt idx="30">
                  <c:v>197469</c:v>
                </c:pt>
                <c:pt idx="31">
                  <c:v>90653</c:v>
                </c:pt>
                <c:pt idx="32">
                  <c:v>123621</c:v>
                </c:pt>
                <c:pt idx="33">
                  <c:v>88672</c:v>
                </c:pt>
                <c:pt idx="34">
                  <c:v>56667</c:v>
                </c:pt>
                <c:pt idx="35">
                  <c:v>43107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131919"/>
        <c:axId val="45675248"/>
      </c:lineChart>
      <c:catAx>
        <c:axId val="19576590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31340"/>
        <c:crosses val="autoZero"/>
        <c:auto val="1"/>
        <c:lblAlgn val="ctr"/>
        <c:lblOffset val="100"/>
        <c:noMultiLvlLbl val="0"/>
      </c:catAx>
      <c:valAx>
        <c:axId val="320313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76590"/>
        <c:crosses val="autoZero"/>
        <c:crossBetween val="between"/>
      </c:valAx>
      <c:catAx>
        <c:axId val="53131919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75248"/>
        <c:crosses val="autoZero"/>
        <c:auto val="1"/>
        <c:lblAlgn val="ctr"/>
        <c:lblOffset val="100"/>
        <c:noMultiLvlLbl val="0"/>
      </c:catAx>
      <c:valAx>
        <c:axId val="4567524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Quantity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3191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Quantity Sold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'Day of Week Pivot'!B1</c:f>
              <c:strCache>
                <c:ptCount val="1"/>
                <c:pt idx="0">
                  <c:v>Avg Quantity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'Day of Week Pivot'!$A$2:$A$8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'Day of Week Pivot'!$B$2:$B$8</c:f>
              <c:numCache>
                <c:formatCode>#,##0</c:formatCode>
                <c:ptCount val="7"/>
                <c:pt idx="0">
                  <c:v>4400.04635761589</c:v>
                </c:pt>
                <c:pt idx="1">
                  <c:v>3851.70198675497</c:v>
                </c:pt>
                <c:pt idx="2">
                  <c:v>4105.99337748344</c:v>
                </c:pt>
                <c:pt idx="3">
                  <c:v>3969.22</c:v>
                </c:pt>
                <c:pt idx="4">
                  <c:v>6955.39333333333</c:v>
                </c:pt>
                <c:pt idx="5">
                  <c:v>7937.30666666667</c:v>
                </c:pt>
                <c:pt idx="6">
                  <c:v>3897.1</c:v>
                </c:pt>
              </c:numCache>
            </c:numRef>
          </c:val>
        </c:ser>
        <c:gapWidth val="150"/>
        <c:overlap val="0"/>
        <c:axId val="46762659"/>
        <c:axId val="1898499"/>
      </c:barChart>
      <c:catAx>
        <c:axId val="467626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8499"/>
        <c:crosses val="autoZero"/>
        <c:auto val="1"/>
        <c:lblAlgn val="ctr"/>
        <c:lblOffset val="100"/>
        <c:noMultiLvlLbl val="0"/>
      </c:catAx>
      <c:valAx>
        <c:axId val="18984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Quantity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626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Gross Profit (R)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'Day of Week Pivot'!D1</c:f>
              <c:strCache>
                <c:ptCount val="1"/>
                <c:pt idx="0">
                  <c:v>Avg Gross Profit (R)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'Day of Week Pivot'!$A$2:$A$8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'Day of Week Pivot'!$D$2:$D$8</c:f>
              <c:numCache>
                <c:formatCode>#,##0</c:formatCode>
                <c:ptCount val="7"/>
                <c:pt idx="0">
                  <c:v>-5108.25431446142</c:v>
                </c:pt>
                <c:pt idx="1">
                  <c:v>-4551.18064890501</c:v>
                </c:pt>
                <c:pt idx="2">
                  <c:v>-5930.0708034198</c:v>
                </c:pt>
                <c:pt idx="3">
                  <c:v>-5161.55333578615</c:v>
                </c:pt>
                <c:pt idx="4">
                  <c:v>-9490.11881024726</c:v>
                </c:pt>
                <c:pt idx="5">
                  <c:v>-11996.0771023529</c:v>
                </c:pt>
                <c:pt idx="6">
                  <c:v>-5100.68954655565</c:v>
                </c:pt>
              </c:numCache>
            </c:numRef>
          </c:val>
        </c:ser>
        <c:gapWidth val="150"/>
        <c:overlap val="0"/>
        <c:axId val="42531041"/>
        <c:axId val="62908903"/>
      </c:barChart>
      <c:catAx>
        <c:axId val="42531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08903"/>
        <c:crosses val="autoZero"/>
        <c:auto val="1"/>
        <c:lblAlgn val="ctr"/>
        <c:lblOffset val="100"/>
        <c:noMultiLvlLbl val="0"/>
      </c:catAx>
      <c:valAx>
        <c:axId val="629089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Gross Profit (R)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310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Baseline vs Promo: Avg Price &amp; Avg Quantity by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'Promo &amp; Elasticity'!F1</c:f>
              <c:strCache>
                <c:ptCount val="1"/>
                <c:pt idx="0">
                  <c:v>Baseline Avg Price (R)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 &amp; Elasticity'!$A$2:$A$4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'Promo &amp; Elasticity'!$F$2:$F$4</c:f>
              <c:numCache>
                <c:formatCode>#,##0.00</c:formatCode>
                <c:ptCount val="3"/>
                <c:pt idx="0">
                  <c:v>35.0360169896697</c:v>
                </c:pt>
                <c:pt idx="1">
                  <c:v>39.1375128869035</c:v>
                </c:pt>
                <c:pt idx="2">
                  <c:v>35.4164345162713</c:v>
                </c:pt>
              </c:numCache>
            </c:numRef>
          </c:val>
        </c:ser>
        <c:ser>
          <c:idx val="1"/>
          <c:order val="1"/>
          <c:tx>
            <c:strRef>
              <c:f>'Promo &amp; Elasticity'!H1</c:f>
              <c:strCache>
                <c:ptCount val="1"/>
                <c:pt idx="0">
                  <c:v>Promo Avg Price (R)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 &amp; Elasticity'!$A$2:$A$4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'Promo &amp; Elasticity'!$H$2:$H$4</c:f>
              <c:numCache>
                <c:formatCode>#,##0.00</c:formatCode>
                <c:ptCount val="3"/>
                <c:pt idx="0">
                  <c:v>32.4518364788874</c:v>
                </c:pt>
                <c:pt idx="1">
                  <c:v>33.3963490381989</c:v>
                </c:pt>
                <c:pt idx="2">
                  <c:v>33.3920578725498</c:v>
                </c:pt>
              </c:numCache>
            </c:numRef>
          </c:val>
        </c:ser>
        <c:gapWidth val="150"/>
        <c:overlap val="0"/>
        <c:axId val="91349729"/>
        <c:axId val="91977769"/>
      </c:barChart>
      <c:catAx>
        <c:axId val="913497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77769"/>
        <c:crosses val="autoZero"/>
        <c:auto val="1"/>
        <c:lblAlgn val="ctr"/>
        <c:lblOffset val="100"/>
        <c:noMultiLvlLbl val="0"/>
      </c:catAx>
      <c:valAx>
        <c:axId val="919777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497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21</xdr:col>
      <xdr:colOff>201240</xdr:colOff>
      <xdr:row>29</xdr:row>
      <xdr:rowOff>181080</xdr:rowOff>
    </xdr:to>
    <xdr:graphicFrame>
      <xdr:nvGraphicFramePr>
        <xdr:cNvPr id="0" name="Chart 1"/>
        <xdr:cNvGraphicFramePr/>
      </xdr:nvGraphicFramePr>
      <xdr:xfrm>
        <a:off x="176400" y="269568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12</xdr:row>
      <xdr:rowOff>0</xdr:rowOff>
    </xdr:from>
    <xdr:to>
      <xdr:col>32</xdr:col>
      <xdr:colOff>457920</xdr:colOff>
      <xdr:row>29</xdr:row>
      <xdr:rowOff>181080</xdr:rowOff>
    </xdr:to>
    <xdr:graphicFrame>
      <xdr:nvGraphicFramePr>
        <xdr:cNvPr id="1" name="Chart 2"/>
        <xdr:cNvGraphicFramePr/>
      </xdr:nvGraphicFramePr>
      <xdr:xfrm>
        <a:off x="4319280" y="269568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21</xdr:col>
      <xdr:colOff>201240</xdr:colOff>
      <xdr:row>51</xdr:row>
      <xdr:rowOff>181080</xdr:rowOff>
    </xdr:to>
    <xdr:graphicFrame>
      <xdr:nvGraphicFramePr>
        <xdr:cNvPr id="2" name="Chart 3"/>
        <xdr:cNvGraphicFramePr/>
      </xdr:nvGraphicFramePr>
      <xdr:xfrm>
        <a:off x="176400" y="688644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34</xdr:row>
      <xdr:rowOff>0</xdr:rowOff>
    </xdr:from>
    <xdr:to>
      <xdr:col>32</xdr:col>
      <xdr:colOff>457920</xdr:colOff>
      <xdr:row>51</xdr:row>
      <xdr:rowOff>181080</xdr:rowOff>
    </xdr:to>
    <xdr:graphicFrame>
      <xdr:nvGraphicFramePr>
        <xdr:cNvPr id="3" name="Chart 4"/>
        <xdr:cNvGraphicFramePr/>
      </xdr:nvGraphicFramePr>
      <xdr:xfrm>
        <a:off x="4319280" y="688644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21</xdr:col>
      <xdr:colOff>201240</xdr:colOff>
      <xdr:row>73</xdr:row>
      <xdr:rowOff>181080</xdr:rowOff>
    </xdr:to>
    <xdr:graphicFrame>
      <xdr:nvGraphicFramePr>
        <xdr:cNvPr id="4" name="Chart 5"/>
        <xdr:cNvGraphicFramePr/>
      </xdr:nvGraphicFramePr>
      <xdr:xfrm>
        <a:off x="176400" y="1107756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0</xdr:colOff>
      <xdr:row>56</xdr:row>
      <xdr:rowOff>0</xdr:rowOff>
    </xdr:from>
    <xdr:to>
      <xdr:col>32</xdr:col>
      <xdr:colOff>457920</xdr:colOff>
      <xdr:row>73</xdr:row>
      <xdr:rowOff>181080</xdr:rowOff>
    </xdr:to>
    <xdr:graphicFrame>
      <xdr:nvGraphicFramePr>
        <xdr:cNvPr id="5" name="Chart 6"/>
        <xdr:cNvGraphicFramePr/>
      </xdr:nvGraphicFramePr>
      <xdr:xfrm>
        <a:off x="4319280" y="1107756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MasterTbl" displayName="SalesMasterTbl" ref="A1:L1054" headerRowCount="1" totalsRowCount="0" totalsRowShown="0">
  <autoFilter ref="A1:L1054"/>
  <tableColumns count="12">
    <tableColumn id="1" name="Date"/>
    <tableColumn id="2" name="Sales (R)"/>
    <tableColumn id="3" name="Cost of Sales (R)"/>
    <tableColumn id="4" name="Quantity Sold"/>
    <tableColumn id="5" name="Price per Unit (R)"/>
    <tableColumn id="6" name="Cost per Unit (R)"/>
    <tableColumn id="7" name="Gross Profit (R)"/>
    <tableColumn id="8" name="Gross Profit %"/>
    <tableColumn id="9" name="Gross Profit per Unit (R)"/>
    <tableColumn id="10" name="Gross Profit % per Unit"/>
    <tableColumn id="11" name="Day of Week"/>
    <tableColumn id="12" name="Period Lab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05496"/>
    <pageSetUpPr fitToPage="false"/>
  </sheetPr>
  <dimension ref="B2:AD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30" min="2" style="0" width="4.2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.75" hidden="false" customHeight="true" outlineLevel="0" collapsed="false">
      <c r="B4" s="2" t="str">
        <f aca="false">"Trading period: "&amp;'Summary KPIs'!B2&amp;"  to  "&amp;'Summary KPIs'!B3&amp;"   |   "&amp;'Summary KPIs'!B4&amp;" trading days"</f>
        <v>Trading period: 2013-12-30  to  2016-11-16   |   1053 trading days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6" customFormat="false" ht="27.75" hidden="false" customHeight="true" outlineLevel="0" collapsed="false">
      <c r="B6" s="3" t="s">
        <v>1</v>
      </c>
      <c r="C6" s="3"/>
      <c r="D6" s="3"/>
      <c r="E6" s="3"/>
      <c r="G6" s="3" t="s">
        <v>2</v>
      </c>
      <c r="H6" s="3"/>
      <c r="I6" s="3"/>
      <c r="J6" s="3"/>
      <c r="L6" s="3" t="s">
        <v>3</v>
      </c>
      <c r="M6" s="3"/>
      <c r="N6" s="3"/>
      <c r="O6" s="3"/>
      <c r="Q6" s="3" t="s">
        <v>4</v>
      </c>
      <c r="R6" s="3"/>
      <c r="S6" s="3"/>
      <c r="T6" s="3"/>
      <c r="V6" s="3" t="s">
        <v>5</v>
      </c>
      <c r="W6" s="3"/>
      <c r="X6" s="3"/>
      <c r="Y6" s="3"/>
      <c r="AA6" s="3" t="s">
        <v>6</v>
      </c>
      <c r="AB6" s="3"/>
      <c r="AC6" s="3"/>
      <c r="AD6" s="3"/>
    </row>
    <row r="7" customFormat="false" ht="15.75" hidden="false" customHeight="true" outlineLevel="0" collapsed="false">
      <c r="B7" s="4" t="n">
        <f aca="false">'Summary KPIs'!B5</f>
        <v>186909828.256483</v>
      </c>
      <c r="C7" s="4"/>
      <c r="D7" s="4"/>
      <c r="E7" s="4"/>
      <c r="G7" s="4" t="n">
        <f aca="false">'Summary KPIs'!B6</f>
        <v>194026109.446509</v>
      </c>
      <c r="H7" s="4"/>
      <c r="I7" s="4"/>
      <c r="J7" s="4"/>
      <c r="L7" s="5" t="n">
        <f aca="false">'Summary KPIs'!B5-'Summary KPIs'!B6</f>
        <v>-7116281.19002602</v>
      </c>
      <c r="M7" s="5"/>
      <c r="N7" s="5"/>
      <c r="O7" s="5"/>
      <c r="Q7" s="4" t="n">
        <f aca="false">'Summary KPIs'!B7</f>
        <v>5279872</v>
      </c>
      <c r="R7" s="4"/>
      <c r="S7" s="4"/>
      <c r="T7" s="4"/>
      <c r="V7" s="6" t="n">
        <f aca="false">'Summary KPIs'!B9</f>
        <v>-0.0380733386596495</v>
      </c>
      <c r="W7" s="6"/>
      <c r="X7" s="6"/>
      <c r="Y7" s="6"/>
      <c r="AA7" s="7" t="n">
        <f aca="false">'Summary KPIs'!B8</f>
        <v>35.4004468775916</v>
      </c>
      <c r="AB7" s="7"/>
      <c r="AC7" s="7"/>
      <c r="AD7" s="7"/>
    </row>
    <row r="8" customFormat="false" ht="15.75" hidden="false" customHeight="true" outlineLevel="0" collapsed="false">
      <c r="B8" s="4"/>
      <c r="C8" s="4"/>
      <c r="D8" s="4"/>
      <c r="E8" s="4"/>
      <c r="G8" s="4"/>
      <c r="H8" s="4"/>
      <c r="I8" s="4"/>
      <c r="J8" s="4"/>
      <c r="L8" s="5"/>
      <c r="M8" s="5"/>
      <c r="N8" s="5"/>
      <c r="O8" s="5"/>
      <c r="Q8" s="4"/>
      <c r="R8" s="4"/>
      <c r="S8" s="4"/>
      <c r="T8" s="4"/>
      <c r="V8" s="6"/>
      <c r="W8" s="6"/>
      <c r="X8" s="6"/>
      <c r="Y8" s="6"/>
      <c r="AA8" s="7"/>
      <c r="AB8" s="7"/>
      <c r="AC8" s="7"/>
      <c r="AD8" s="7"/>
    </row>
    <row r="9" customFormat="false" ht="15.75" hidden="false" customHeight="true" outlineLevel="0" collapsed="false">
      <c r="B9" s="4"/>
      <c r="C9" s="4"/>
      <c r="D9" s="4"/>
      <c r="E9" s="4"/>
      <c r="G9" s="4"/>
      <c r="H9" s="4"/>
      <c r="I9" s="4"/>
      <c r="J9" s="4"/>
      <c r="L9" s="5"/>
      <c r="M9" s="5"/>
      <c r="N9" s="5"/>
      <c r="O9" s="5"/>
      <c r="Q9" s="4"/>
      <c r="R9" s="4"/>
      <c r="S9" s="4"/>
      <c r="T9" s="4"/>
      <c r="V9" s="6"/>
      <c r="W9" s="6"/>
      <c r="X9" s="6"/>
      <c r="Y9" s="6"/>
      <c r="AA9" s="7"/>
      <c r="AB9" s="7"/>
      <c r="AC9" s="7"/>
      <c r="AD9" s="7"/>
    </row>
    <row r="11" customFormat="false" ht="18" hidden="false" customHeight="true" outlineLevel="0" collapsed="false">
      <c r="B11" s="8" t="s">
        <v>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79" customFormat="false" ht="15" hidden="false" customHeight="false" outlineLevel="0" collapsed="false">
      <c r="B79" s="9" t="s">
        <v>8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</sheetData>
  <mergeCells count="16">
    <mergeCell ref="B2:AD3"/>
    <mergeCell ref="B4:AD4"/>
    <mergeCell ref="B6:E6"/>
    <mergeCell ref="G6:J6"/>
    <mergeCell ref="L6:O6"/>
    <mergeCell ref="Q6:T6"/>
    <mergeCell ref="V6:Y6"/>
    <mergeCell ref="AA6:AD6"/>
    <mergeCell ref="B7:E9"/>
    <mergeCell ref="G7:J9"/>
    <mergeCell ref="L7:O9"/>
    <mergeCell ref="Q7:T9"/>
    <mergeCell ref="V7:Y9"/>
    <mergeCell ref="AA7:AD9"/>
    <mergeCell ref="B11:AD11"/>
    <mergeCell ref="B79:AD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10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12"/>
    <col collapsed="false" customWidth="true" hidden="false" outlineLevel="0" max="2" min="2" style="10" width="14"/>
    <col collapsed="false" customWidth="true" hidden="false" outlineLevel="0" max="3" min="3" style="10" width="16"/>
    <col collapsed="false" customWidth="true" hidden="false" outlineLevel="0" max="4" min="4" style="10" width="13"/>
    <col collapsed="false" customWidth="true" hidden="false" outlineLevel="0" max="5" min="5" style="10" width="16"/>
    <col collapsed="false" customWidth="true" hidden="false" outlineLevel="0" max="7" min="6" style="10" width="15"/>
    <col collapsed="false" customWidth="true" hidden="false" outlineLevel="0" max="8" min="8" style="10" width="14"/>
    <col collapsed="false" customWidth="true" hidden="false" outlineLevel="0" max="10" min="9" style="10" width="18"/>
    <col collapsed="false" customWidth="true" hidden="false" outlineLevel="0" max="12" min="11" style="10" width="14"/>
  </cols>
  <sheetData>
    <row r="1" customFormat="false" ht="30" hidden="false" customHeight="true" outlineLevel="0" collapsed="false">
      <c r="A1" s="11" t="s">
        <v>9</v>
      </c>
      <c r="B1" s="11" t="s">
        <v>10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20</v>
      </c>
    </row>
    <row r="2" customFormat="false" ht="15" hidden="false" customHeight="true" outlineLevel="0" collapsed="false">
      <c r="A2" s="12" t="n">
        <v>41638</v>
      </c>
      <c r="B2" s="13" t="n">
        <v>223937.967869727</v>
      </c>
      <c r="C2" s="13" t="n">
        <v>230079.621012448</v>
      </c>
      <c r="D2" s="14" t="n">
        <v>6827</v>
      </c>
      <c r="E2" s="15" t="n">
        <f aca="false">B2/D2</f>
        <v>32.8018116112095</v>
      </c>
      <c r="F2" s="15" t="n">
        <f aca="false">C2/D2</f>
        <v>33.7014239069061</v>
      </c>
      <c r="G2" s="13" t="n">
        <f aca="false">B2-C2</f>
        <v>-6141.65314272101</v>
      </c>
      <c r="H2" s="16" t="n">
        <f aca="false">G2/B2</f>
        <v>-0.0274256893600724</v>
      </c>
      <c r="I2" s="15" t="n">
        <f aca="false">G2/D2</f>
        <v>-0.899612295696648</v>
      </c>
      <c r="J2" s="16" t="n">
        <f aca="false">I2/E2</f>
        <v>-0.0274256893600724</v>
      </c>
      <c r="K2" s="17" t="str">
        <f aca="false">TEXT(A2,"dddd")</f>
        <v>Monday</v>
      </c>
      <c r="L2" s="17" t="str">
        <f aca="false">IF(AND(A2&gt;=DATE(2014,9,24),A2&lt;=DATE(2014,10,6)),"Promo 1",IF(AND(A2&gt;=DATE(2014,9,10),A2&lt;=DATE(2014,9,23)),"Baseline 1",IF(AND(A2&gt;=DATE(2015,9,23),A2&lt;=DATE(2015,10,6)),"Promo 2",IF(AND(A2&gt;=DATE(2015,9,9),A2&lt;=DATE(2015,9,22)),"Baseline 2",IF(AND(A2&gt;=DATE(2016,6,23),A2&lt;=DATE(2016,7,6)),"Promo 3",IF(AND(A2&gt;=DATE(2016,6,9),A2&lt;=DATE(2016,6,22)),"Baseline 3","Other"))))))</f>
        <v>Other</v>
      </c>
    </row>
    <row r="3" customFormat="false" ht="15" hidden="false" customHeight="true" outlineLevel="0" collapsed="false">
      <c r="A3" s="12" t="n">
        <v>41639</v>
      </c>
      <c r="B3" s="13" t="n">
        <v>300345.484563986</v>
      </c>
      <c r="C3" s="13" t="n">
        <v>306986.120484283</v>
      </c>
      <c r="D3" s="14" t="n">
        <v>9268</v>
      </c>
      <c r="E3" s="15" t="n">
        <f aca="false">B3/D3</f>
        <v>32.4067203888634</v>
      </c>
      <c r="F3" s="15" t="n">
        <f aca="false">C3/D3</f>
        <v>33.123232680652</v>
      </c>
      <c r="G3" s="13" t="n">
        <f aca="false">B3-C3</f>
        <v>-6640.63592029701</v>
      </c>
      <c r="H3" s="16" t="n">
        <f aca="false">G3/B3</f>
        <v>-0.02210999086581</v>
      </c>
      <c r="I3" s="15" t="n">
        <f aca="false">G3/D3</f>
        <v>-0.716512291788628</v>
      </c>
      <c r="J3" s="16" t="n">
        <f aca="false">I3/E3</f>
        <v>-0.02210999086581</v>
      </c>
      <c r="K3" s="17" t="str">
        <f aca="false">TEXT(A3,"dddd")</f>
        <v>Tuesday</v>
      </c>
      <c r="L3" s="17" t="str">
        <f aca="false">IF(AND(A3&gt;=DATE(2014,9,24),A3&lt;=DATE(2014,10,6)),"Promo 1",IF(AND(A3&gt;=DATE(2014,9,10),A3&lt;=DATE(2014,9,23)),"Baseline 1",IF(AND(A3&gt;=DATE(2015,9,23),A3&lt;=DATE(2015,10,6)),"Promo 2",IF(AND(A3&gt;=DATE(2015,9,9),A3&lt;=DATE(2015,9,22)),"Baseline 2",IF(AND(A3&gt;=DATE(2016,6,23),A3&lt;=DATE(2016,7,6)),"Promo 3",IF(AND(A3&gt;=DATE(2016,6,9),A3&lt;=DATE(2016,6,22)),"Baseline 3","Other"))))))</f>
        <v>Other</v>
      </c>
    </row>
    <row r="4" customFormat="false" ht="15" hidden="false" customHeight="true" outlineLevel="0" collapsed="false">
      <c r="A4" s="12" t="n">
        <v>41640</v>
      </c>
      <c r="B4" s="13" t="n">
        <v>86782.4677274178</v>
      </c>
      <c r="C4" s="13" t="n">
        <v>87986.3182144499</v>
      </c>
      <c r="D4" s="14" t="n">
        <v>2678</v>
      </c>
      <c r="E4" s="15" t="n">
        <f aca="false">B4/D4</f>
        <v>32.4057011678184</v>
      </c>
      <c r="F4" s="15" t="n">
        <f aca="false">C4/D4</f>
        <v>32.8552345834391</v>
      </c>
      <c r="G4" s="13" t="n">
        <f aca="false">B4-C4</f>
        <v>-1203.8504870321</v>
      </c>
      <c r="H4" s="16" t="n">
        <f aca="false">G4/B4</f>
        <v>-0.0138720471836936</v>
      </c>
      <c r="I4" s="15" t="n">
        <f aca="false">G4/D4</f>
        <v>-0.449533415620652</v>
      </c>
      <c r="J4" s="16" t="n">
        <f aca="false">I4/E4</f>
        <v>-0.0138720471836936</v>
      </c>
      <c r="K4" s="17" t="str">
        <f aca="false">TEXT(A4,"dddd")</f>
        <v>Wednesday</v>
      </c>
      <c r="L4" s="17" t="str">
        <f aca="false">IF(AND(A4&gt;=DATE(2014,9,24),A4&lt;=DATE(2014,10,6)),"Promo 1",IF(AND(A4&gt;=DATE(2014,9,10),A4&lt;=DATE(2014,9,23)),"Baseline 1",IF(AND(A4&gt;=DATE(2015,9,23),A4&lt;=DATE(2015,10,6)),"Promo 2",IF(AND(A4&gt;=DATE(2015,9,9),A4&lt;=DATE(2015,9,22)),"Baseline 2",IF(AND(A4&gt;=DATE(2016,6,23),A4&lt;=DATE(2016,7,6)),"Promo 3",IF(AND(A4&gt;=DATE(2016,6,9),A4&lt;=DATE(2016,6,22)),"Baseline 3","Other"))))))</f>
        <v>Other</v>
      </c>
    </row>
    <row r="5" customFormat="false" ht="15" hidden="false" customHeight="true" outlineLevel="0" collapsed="false">
      <c r="A5" s="12" t="n">
        <v>41641</v>
      </c>
      <c r="B5" s="13" t="n">
        <v>200173.116752677</v>
      </c>
      <c r="C5" s="13" t="n">
        <v>202881.177706233</v>
      </c>
      <c r="D5" s="14" t="n">
        <v>6175</v>
      </c>
      <c r="E5" s="15" t="n">
        <f aca="false">B5/D5</f>
        <v>32.4166990692594</v>
      </c>
      <c r="F5" s="15" t="n">
        <f aca="false">C5/D5</f>
        <v>32.8552514504021</v>
      </c>
      <c r="G5" s="13" t="n">
        <f aca="false">B5-C5</f>
        <v>-2708.06095355601</v>
      </c>
      <c r="H5" s="16" t="n">
        <f aca="false">G5/B5</f>
        <v>-0.0135285946359218</v>
      </c>
      <c r="I5" s="15" t="n">
        <f aca="false">G5/D5</f>
        <v>-0.438552381142673</v>
      </c>
      <c r="J5" s="16" t="n">
        <f aca="false">I5/E5</f>
        <v>-0.0135285946359218</v>
      </c>
      <c r="K5" s="17" t="str">
        <f aca="false">TEXT(A5,"dddd")</f>
        <v>Thursday</v>
      </c>
      <c r="L5" s="17" t="str">
        <f aca="false">IF(AND(A5&gt;=DATE(2014,9,24),A5&lt;=DATE(2014,10,6)),"Promo 1",IF(AND(A5&gt;=DATE(2014,9,10),A5&lt;=DATE(2014,9,23)),"Baseline 1",IF(AND(A5&gt;=DATE(2015,9,23),A5&lt;=DATE(2015,10,6)),"Promo 2",IF(AND(A5&gt;=DATE(2015,9,9),A5&lt;=DATE(2015,9,22)),"Baseline 2",IF(AND(A5&gt;=DATE(2016,6,23),A5&lt;=DATE(2016,7,6)),"Promo 3",IF(AND(A5&gt;=DATE(2016,6,9),A5&lt;=DATE(2016,6,22)),"Baseline 3","Other"))))))</f>
        <v>Other</v>
      </c>
    </row>
    <row r="6" customFormat="false" ht="15" hidden="false" customHeight="true" outlineLevel="0" collapsed="false">
      <c r="A6" s="12" t="n">
        <v>41642</v>
      </c>
      <c r="B6" s="13" t="n">
        <v>326906.074176331</v>
      </c>
      <c r="C6" s="13" t="n">
        <v>333806.291873355</v>
      </c>
      <c r="D6" s="14" t="n">
        <v>10084</v>
      </c>
      <c r="E6" s="15" t="n">
        <f aca="false">B6/D6</f>
        <v>32.418293750132</v>
      </c>
      <c r="F6" s="15" t="n">
        <f aca="false">C6/D6</f>
        <v>33.1025676193331</v>
      </c>
      <c r="G6" s="13" t="n">
        <f aca="false">B6-C6</f>
        <v>-6900.217697024</v>
      </c>
      <c r="H6" s="16" t="n">
        <f aca="false">G6/B6</f>
        <v>-0.0211076460246562</v>
      </c>
      <c r="I6" s="15" t="n">
        <f aca="false">G6/D6</f>
        <v>-0.68427386920111</v>
      </c>
      <c r="J6" s="16" t="n">
        <f aca="false">I6/E6</f>
        <v>-0.0211076460246562</v>
      </c>
      <c r="K6" s="17" t="str">
        <f aca="false">TEXT(A6,"dddd")</f>
        <v>Friday</v>
      </c>
      <c r="L6" s="17" t="str">
        <f aca="false">IF(AND(A6&gt;=DATE(2014,9,24),A6&lt;=DATE(2014,10,6)),"Promo 1",IF(AND(A6&gt;=DATE(2014,9,10),A6&lt;=DATE(2014,9,23)),"Baseline 1",IF(AND(A6&gt;=DATE(2015,9,23),A6&lt;=DATE(2015,10,6)),"Promo 2",IF(AND(A6&gt;=DATE(2015,9,9),A6&lt;=DATE(2015,9,22)),"Baseline 2",IF(AND(A6&gt;=DATE(2016,6,23),A6&lt;=DATE(2016,7,6)),"Promo 3",IF(AND(A6&gt;=DATE(2016,6,9),A6&lt;=DATE(2016,6,22)),"Baseline 3","Other"))))))</f>
        <v>Other</v>
      </c>
    </row>
    <row r="7" customFormat="false" ht="15" hidden="false" customHeight="true" outlineLevel="0" collapsed="false">
      <c r="A7" s="12" t="n">
        <v>41643</v>
      </c>
      <c r="B7" s="13" t="n">
        <v>307043.935422162</v>
      </c>
      <c r="C7" s="13" t="n">
        <v>313652.348272364</v>
      </c>
      <c r="D7" s="14" t="n">
        <v>9470</v>
      </c>
      <c r="E7" s="15" t="n">
        <f aca="false">B7/D7</f>
        <v>32.4228020509147</v>
      </c>
      <c r="F7" s="15" t="n">
        <f aca="false">C7/D7</f>
        <v>33.1206281174619</v>
      </c>
      <c r="G7" s="13" t="n">
        <f aca="false">B7-C7</f>
        <v>-6608.412850202</v>
      </c>
      <c r="H7" s="16" t="n">
        <f aca="false">G7/B7</f>
        <v>-0.0215226945978136</v>
      </c>
      <c r="I7" s="15" t="n">
        <f aca="false">G7/D7</f>
        <v>-0.697826066547202</v>
      </c>
      <c r="J7" s="16" t="n">
        <f aca="false">I7/E7</f>
        <v>-0.0215226945978136</v>
      </c>
      <c r="K7" s="17" t="str">
        <f aca="false">TEXT(A7,"dddd")</f>
        <v>Saturday</v>
      </c>
      <c r="L7" s="17" t="str">
        <f aca="false">IF(AND(A7&gt;=DATE(2014,9,24),A7&lt;=DATE(2014,10,6)),"Promo 1",IF(AND(A7&gt;=DATE(2014,9,10),A7&lt;=DATE(2014,9,23)),"Baseline 1",IF(AND(A7&gt;=DATE(2015,9,23),A7&lt;=DATE(2015,10,6)),"Promo 2",IF(AND(A7&gt;=DATE(2015,9,9),A7&lt;=DATE(2015,9,22)),"Baseline 2",IF(AND(A7&gt;=DATE(2016,6,23),A7&lt;=DATE(2016,7,6)),"Promo 3",IF(AND(A7&gt;=DATE(2016,6,9),A7&lt;=DATE(2016,6,22)),"Baseline 3","Other"))))))</f>
        <v>Other</v>
      </c>
    </row>
    <row r="8" customFormat="false" ht="15" hidden="false" customHeight="true" outlineLevel="0" collapsed="false">
      <c r="A8" s="12" t="n">
        <v>41644</v>
      </c>
      <c r="B8" s="13" t="n">
        <v>179188.88448781</v>
      </c>
      <c r="C8" s="13" t="n">
        <v>183083.284984027</v>
      </c>
      <c r="D8" s="14" t="n">
        <v>5524</v>
      </c>
      <c r="E8" s="15" t="n">
        <f aca="false">B8/D8</f>
        <v>32.4382484590532</v>
      </c>
      <c r="F8" s="15" t="n">
        <f aca="false">C8/D8</f>
        <v>33.1432449283177</v>
      </c>
      <c r="G8" s="13" t="n">
        <f aca="false">B8-C8</f>
        <v>-3894.40049621701</v>
      </c>
      <c r="H8" s="16" t="n">
        <f aca="false">G8/B8</f>
        <v>-0.0217334937228316</v>
      </c>
      <c r="I8" s="15" t="n">
        <f aca="false">G8/D8</f>
        <v>-0.704996469264485</v>
      </c>
      <c r="J8" s="16" t="n">
        <f aca="false">I8/E8</f>
        <v>-0.0217334937228316</v>
      </c>
      <c r="K8" s="17" t="str">
        <f aca="false">TEXT(A8,"dddd")</f>
        <v>Sunday</v>
      </c>
      <c r="L8" s="17" t="str">
        <f aca="false">IF(AND(A8&gt;=DATE(2014,9,24),A8&lt;=DATE(2014,10,6)),"Promo 1",IF(AND(A8&gt;=DATE(2014,9,10),A8&lt;=DATE(2014,9,23)),"Baseline 1",IF(AND(A8&gt;=DATE(2015,9,23),A8&lt;=DATE(2015,10,6)),"Promo 2",IF(AND(A8&gt;=DATE(2015,9,9),A8&lt;=DATE(2015,9,22)),"Baseline 2",IF(AND(A8&gt;=DATE(2016,6,23),A8&lt;=DATE(2016,7,6)),"Promo 3",IF(AND(A8&gt;=DATE(2016,6,9),A8&lt;=DATE(2016,6,22)),"Baseline 3","Other"))))))</f>
        <v>Other</v>
      </c>
    </row>
    <row r="9" customFormat="false" ht="15" hidden="false" customHeight="true" outlineLevel="0" collapsed="false">
      <c r="A9" s="12" t="n">
        <v>41645</v>
      </c>
      <c r="B9" s="13" t="n">
        <v>306351.950858992</v>
      </c>
      <c r="C9" s="13" t="n">
        <v>313446.068148843</v>
      </c>
      <c r="D9" s="14" t="n">
        <v>9448</v>
      </c>
      <c r="E9" s="15" t="n">
        <f aca="false">B9/D9</f>
        <v>32.4250583042964</v>
      </c>
      <c r="F9" s="15" t="n">
        <f aca="false">C9/D9</f>
        <v>33.175917458599</v>
      </c>
      <c r="G9" s="13" t="n">
        <f aca="false">B9-C9</f>
        <v>-7094.11728985101</v>
      </c>
      <c r="H9" s="16" t="n">
        <f aca="false">G9/B9</f>
        <v>-0.02315675571825</v>
      </c>
      <c r="I9" s="15" t="n">
        <f aca="false">G9/D9</f>
        <v>-0.750859154302605</v>
      </c>
      <c r="J9" s="16" t="n">
        <f aca="false">I9/E9</f>
        <v>-0.02315675571825</v>
      </c>
      <c r="K9" s="17" t="str">
        <f aca="false">TEXT(A9,"dddd")</f>
        <v>Monday</v>
      </c>
      <c r="L9" s="17" t="str">
        <f aca="false">IF(AND(A9&gt;=DATE(2014,9,24),A9&lt;=DATE(2014,10,6)),"Promo 1",IF(AND(A9&gt;=DATE(2014,9,10),A9&lt;=DATE(2014,9,23)),"Baseline 1",IF(AND(A9&gt;=DATE(2015,9,23),A9&lt;=DATE(2015,10,6)),"Promo 2",IF(AND(A9&gt;=DATE(2015,9,9),A9&lt;=DATE(2015,9,22)),"Baseline 2",IF(AND(A9&gt;=DATE(2016,6,23),A9&lt;=DATE(2016,7,6)),"Promo 3",IF(AND(A9&gt;=DATE(2016,6,9),A9&lt;=DATE(2016,6,22)),"Baseline 3","Other"))))))</f>
        <v>Other</v>
      </c>
    </row>
    <row r="10" customFormat="false" ht="15" hidden="false" customHeight="true" outlineLevel="0" collapsed="false">
      <c r="A10" s="12" t="n">
        <v>41646</v>
      </c>
      <c r="B10" s="13" t="n">
        <v>224020.409968478</v>
      </c>
      <c r="C10" s="13" t="n">
        <v>229533.97372838</v>
      </c>
      <c r="D10" s="14" t="n">
        <v>6911</v>
      </c>
      <c r="E10" s="15" t="n">
        <f aca="false">B10/D10</f>
        <v>32.4150499158556</v>
      </c>
      <c r="F10" s="15" t="n">
        <f aca="false">C10/D10</f>
        <v>33.212845279754</v>
      </c>
      <c r="G10" s="13" t="n">
        <f aca="false">B10-C10</f>
        <v>-5513.563759902</v>
      </c>
      <c r="H10" s="16" t="n">
        <f aca="false">G10/B10</f>
        <v>-0.0246118813936543</v>
      </c>
      <c r="I10" s="15" t="n">
        <f aca="false">G10/D10</f>
        <v>-0.797795363898422</v>
      </c>
      <c r="J10" s="16" t="n">
        <f aca="false">I10/E10</f>
        <v>-0.0246118813936543</v>
      </c>
      <c r="K10" s="17" t="str">
        <f aca="false">TEXT(A10,"dddd")</f>
        <v>Tuesday</v>
      </c>
      <c r="L10" s="17" t="str">
        <f aca="false">IF(AND(A10&gt;=DATE(2014,9,24),A10&lt;=DATE(2014,10,6)),"Promo 1",IF(AND(A10&gt;=DATE(2014,9,10),A10&lt;=DATE(2014,9,23)),"Baseline 1",IF(AND(A10&gt;=DATE(2015,9,23),A10&lt;=DATE(2015,10,6)),"Promo 2",IF(AND(A10&gt;=DATE(2015,9,9),A10&lt;=DATE(2015,9,22)),"Baseline 2",IF(AND(A10&gt;=DATE(2016,6,23),A10&lt;=DATE(2016,7,6)),"Promo 3",IF(AND(A10&gt;=DATE(2016,6,9),A10&lt;=DATE(2016,6,22)),"Baseline 3","Other"))))))</f>
        <v>Other</v>
      </c>
    </row>
    <row r="11" customFormat="false" ht="15" hidden="false" customHeight="true" outlineLevel="0" collapsed="false">
      <c r="A11" s="12" t="n">
        <v>41647</v>
      </c>
      <c r="B11" s="13" t="n">
        <v>101836.402236237</v>
      </c>
      <c r="C11" s="13" t="n">
        <v>99381.9675172249</v>
      </c>
      <c r="D11" s="14" t="n">
        <v>2990</v>
      </c>
      <c r="E11" s="15" t="n">
        <f aca="false">B11/D11</f>
        <v>34.0589974034237</v>
      </c>
      <c r="F11" s="15" t="n">
        <f aca="false">C11/D11</f>
        <v>33.2381162264966</v>
      </c>
      <c r="G11" s="13" t="n">
        <f aca="false">B11-C11</f>
        <v>2454.4347190121</v>
      </c>
      <c r="H11" s="16" t="n">
        <f aca="false">G11/B11</f>
        <v>0.0241017422563533</v>
      </c>
      <c r="I11" s="15" t="n">
        <f aca="false">G11/D11</f>
        <v>0.820881176927125</v>
      </c>
      <c r="J11" s="16" t="n">
        <f aca="false">I11/E11</f>
        <v>0.0241017422563533</v>
      </c>
      <c r="K11" s="17" t="str">
        <f aca="false">TEXT(A11,"dddd")</f>
        <v>Wednesday</v>
      </c>
      <c r="L11" s="17" t="str">
        <f aca="false">IF(AND(A11&gt;=DATE(2014,9,24),A11&lt;=DATE(2014,10,6)),"Promo 1",IF(AND(A11&gt;=DATE(2014,9,10),A11&lt;=DATE(2014,9,23)),"Baseline 1",IF(AND(A11&gt;=DATE(2015,9,23),A11&lt;=DATE(2015,10,6)),"Promo 2",IF(AND(A11&gt;=DATE(2015,9,9),A11&lt;=DATE(2015,9,22)),"Baseline 2",IF(AND(A11&gt;=DATE(2016,6,23),A11&lt;=DATE(2016,7,6)),"Promo 3",IF(AND(A11&gt;=DATE(2016,6,9),A11&lt;=DATE(2016,6,22)),"Baseline 3","Other"))))))</f>
        <v>Other</v>
      </c>
    </row>
    <row r="12" customFormat="false" ht="15" hidden="false" customHeight="true" outlineLevel="0" collapsed="false">
      <c r="A12" s="12" t="n">
        <v>41648</v>
      </c>
      <c r="B12" s="13" t="n">
        <v>107804.304947232</v>
      </c>
      <c r="C12" s="13" t="n">
        <v>104816.458512553</v>
      </c>
      <c r="D12" s="14" t="n">
        <v>3159</v>
      </c>
      <c r="E12" s="15" t="n">
        <f aca="false">B12/D12</f>
        <v>34.1260857699373</v>
      </c>
      <c r="F12" s="15" t="n">
        <f aca="false">C12/D12</f>
        <v>33.1802654360725</v>
      </c>
      <c r="G12" s="13" t="n">
        <f aca="false">B12-C12</f>
        <v>2987.846434679</v>
      </c>
      <c r="H12" s="16" t="n">
        <f aca="false">G12/B12</f>
        <v>0.0277154649449434</v>
      </c>
      <c r="I12" s="15" t="n">
        <f aca="false">G12/D12</f>
        <v>0.94582033386483</v>
      </c>
      <c r="J12" s="16" t="n">
        <f aca="false">I12/E12</f>
        <v>0.0277154649449434</v>
      </c>
      <c r="K12" s="17" t="str">
        <f aca="false">TEXT(A12,"dddd")</f>
        <v>Thursday</v>
      </c>
      <c r="L12" s="17" t="str">
        <f aca="false">IF(AND(A12&gt;=DATE(2014,9,24),A12&lt;=DATE(2014,10,6)),"Promo 1",IF(AND(A12&gt;=DATE(2014,9,10),A12&lt;=DATE(2014,9,23)),"Baseline 1",IF(AND(A12&gt;=DATE(2015,9,23),A12&lt;=DATE(2015,10,6)),"Promo 2",IF(AND(A12&gt;=DATE(2015,9,9),A12&lt;=DATE(2015,9,22)),"Baseline 2",IF(AND(A12&gt;=DATE(2016,6,23),A12&lt;=DATE(2016,7,6)),"Promo 3",IF(AND(A12&gt;=DATE(2016,6,9),A12&lt;=DATE(2016,6,22)),"Baseline 3","Other"))))))</f>
        <v>Other</v>
      </c>
    </row>
    <row r="13" customFormat="false" ht="15" hidden="false" customHeight="true" outlineLevel="0" collapsed="false">
      <c r="A13" s="12" t="n">
        <v>41649</v>
      </c>
      <c r="B13" s="13" t="n">
        <v>144829.95672393</v>
      </c>
      <c r="C13" s="13" t="n">
        <v>141333.996283493</v>
      </c>
      <c r="D13" s="14" t="n">
        <v>4246</v>
      </c>
      <c r="E13" s="15" t="n">
        <f aca="false">B13/D13</f>
        <v>34.1097401610763</v>
      </c>
      <c r="F13" s="15" t="n">
        <f aca="false">C13/D13</f>
        <v>33.2863863126456</v>
      </c>
      <c r="G13" s="13" t="n">
        <f aca="false">B13-C13</f>
        <v>3495.96044043699</v>
      </c>
      <c r="H13" s="16" t="n">
        <f aca="false">G13/B13</f>
        <v>0.0241383793761733</v>
      </c>
      <c r="I13" s="15" t="n">
        <f aca="false">G13/D13</f>
        <v>0.823353848430756</v>
      </c>
      <c r="J13" s="16" t="n">
        <f aca="false">I13/E13</f>
        <v>0.0241383793761733</v>
      </c>
      <c r="K13" s="17" t="str">
        <f aca="false">TEXT(A13,"dddd")</f>
        <v>Friday</v>
      </c>
      <c r="L13" s="17" t="str">
        <f aca="false">IF(AND(A13&gt;=DATE(2014,9,24),A13&lt;=DATE(2014,10,6)),"Promo 1",IF(AND(A13&gt;=DATE(2014,9,10),A13&lt;=DATE(2014,9,23)),"Baseline 1",IF(AND(A13&gt;=DATE(2015,9,23),A13&lt;=DATE(2015,10,6)),"Promo 2",IF(AND(A13&gt;=DATE(2015,9,9),A13&lt;=DATE(2015,9,22)),"Baseline 2",IF(AND(A13&gt;=DATE(2016,6,23),A13&lt;=DATE(2016,7,6)),"Promo 3",IF(AND(A13&gt;=DATE(2016,6,9),A13&lt;=DATE(2016,6,22)),"Baseline 3","Other"))))))</f>
        <v>Other</v>
      </c>
    </row>
    <row r="14" customFormat="false" ht="15" hidden="false" customHeight="true" outlineLevel="0" collapsed="false">
      <c r="A14" s="12" t="n">
        <v>41650</v>
      </c>
      <c r="B14" s="13" t="n">
        <v>146571.48235324</v>
      </c>
      <c r="C14" s="13" t="n">
        <v>143179.669988393</v>
      </c>
      <c r="D14" s="14" t="n">
        <v>4297</v>
      </c>
      <c r="E14" s="15" t="n">
        <f aca="false">B14/D14</f>
        <v>34.1101890512544</v>
      </c>
      <c r="F14" s="15" t="n">
        <f aca="false">C14/D14</f>
        <v>33.3208447727235</v>
      </c>
      <c r="G14" s="13" t="n">
        <f aca="false">B14-C14</f>
        <v>3391.81236484699</v>
      </c>
      <c r="H14" s="16" t="n">
        <f aca="false">G14/B14</f>
        <v>0.0231410115418814</v>
      </c>
      <c r="I14" s="15" t="n">
        <f aca="false">G14/D14</f>
        <v>0.789344278530834</v>
      </c>
      <c r="J14" s="16" t="n">
        <f aca="false">I14/E14</f>
        <v>0.0231410115418814</v>
      </c>
      <c r="K14" s="17" t="str">
        <f aca="false">TEXT(A14,"dddd")</f>
        <v>Saturday</v>
      </c>
      <c r="L14" s="17" t="str">
        <f aca="false">IF(AND(A14&gt;=DATE(2014,9,24),A14&lt;=DATE(2014,10,6)),"Promo 1",IF(AND(A14&gt;=DATE(2014,9,10),A14&lt;=DATE(2014,9,23)),"Baseline 1",IF(AND(A14&gt;=DATE(2015,9,23),A14&lt;=DATE(2015,10,6)),"Promo 2",IF(AND(A14&gt;=DATE(2015,9,9),A14&lt;=DATE(2015,9,22)),"Baseline 2",IF(AND(A14&gt;=DATE(2016,6,23),A14&lt;=DATE(2016,7,6)),"Promo 3",IF(AND(A14&gt;=DATE(2016,6,9),A14&lt;=DATE(2016,6,22)),"Baseline 3","Other"))))))</f>
        <v>Other</v>
      </c>
    </row>
    <row r="15" customFormat="false" ht="15" hidden="false" customHeight="true" outlineLevel="0" collapsed="false">
      <c r="A15" s="12" t="n">
        <v>41651</v>
      </c>
      <c r="B15" s="13" t="n">
        <v>95422.3729783171</v>
      </c>
      <c r="C15" s="13" t="n">
        <v>93126.1472383441</v>
      </c>
      <c r="D15" s="14" t="n">
        <v>2796</v>
      </c>
      <c r="E15" s="15" t="n">
        <f aca="false">B15/D15</f>
        <v>34.1281734543337</v>
      </c>
      <c r="F15" s="15" t="n">
        <f aca="false">C15/D15</f>
        <v>33.3069196131417</v>
      </c>
      <c r="G15" s="13" t="n">
        <f aca="false">B15-C15</f>
        <v>2296.225739973</v>
      </c>
      <c r="H15" s="16" t="n">
        <f aca="false">G15/B15</f>
        <v>0.0240638088144672</v>
      </c>
      <c r="I15" s="15" t="n">
        <f aca="false">G15/D15</f>
        <v>0.82125384119206</v>
      </c>
      <c r="J15" s="16" t="n">
        <f aca="false">I15/E15</f>
        <v>0.0240638088144672</v>
      </c>
      <c r="K15" s="17" t="str">
        <f aca="false">TEXT(A15,"dddd")</f>
        <v>Sunday</v>
      </c>
      <c r="L15" s="17" t="str">
        <f aca="false">IF(AND(A15&gt;=DATE(2014,9,24),A15&lt;=DATE(2014,10,6)),"Promo 1",IF(AND(A15&gt;=DATE(2014,9,10),A15&lt;=DATE(2014,9,23)),"Baseline 1",IF(AND(A15&gt;=DATE(2015,9,23),A15&lt;=DATE(2015,10,6)),"Promo 2",IF(AND(A15&gt;=DATE(2015,9,9),A15&lt;=DATE(2015,9,22)),"Baseline 2",IF(AND(A15&gt;=DATE(2016,6,23),A15&lt;=DATE(2016,7,6)),"Promo 3",IF(AND(A15&gt;=DATE(2016,6,9),A15&lt;=DATE(2016,6,22)),"Baseline 3","Other"))))))</f>
        <v>Other</v>
      </c>
    </row>
    <row r="16" customFormat="false" ht="15" hidden="false" customHeight="true" outlineLevel="0" collapsed="false">
      <c r="A16" s="12" t="n">
        <v>41652</v>
      </c>
      <c r="B16" s="13" t="n">
        <v>114883.173791156</v>
      </c>
      <c r="C16" s="13" t="n">
        <v>112186.308663053</v>
      </c>
      <c r="D16" s="14" t="n">
        <v>3369</v>
      </c>
      <c r="E16" s="15" t="n">
        <f aca="false">B16/D16</f>
        <v>34.1000812677815</v>
      </c>
      <c r="F16" s="15" t="n">
        <f aca="false">C16/D16</f>
        <v>33.2995870178252</v>
      </c>
      <c r="G16" s="13" t="n">
        <f aca="false">B16-C16</f>
        <v>2696.865128103</v>
      </c>
      <c r="H16" s="16" t="n">
        <f aca="false">G16/B16</f>
        <v>0.0234748487450876</v>
      </c>
      <c r="I16" s="15" t="n">
        <f aca="false">G16/D16</f>
        <v>0.800494249956368</v>
      </c>
      <c r="J16" s="16" t="n">
        <f aca="false">I16/E16</f>
        <v>0.0234748487450876</v>
      </c>
      <c r="K16" s="17" t="str">
        <f aca="false">TEXT(A16,"dddd")</f>
        <v>Monday</v>
      </c>
      <c r="L16" s="17" t="str">
        <f aca="false">IF(AND(A16&gt;=DATE(2014,9,24),A16&lt;=DATE(2014,10,6)),"Promo 1",IF(AND(A16&gt;=DATE(2014,9,10),A16&lt;=DATE(2014,9,23)),"Baseline 1",IF(AND(A16&gt;=DATE(2015,9,23),A16&lt;=DATE(2015,10,6)),"Promo 2",IF(AND(A16&gt;=DATE(2015,9,9),A16&lt;=DATE(2015,9,22)),"Baseline 2",IF(AND(A16&gt;=DATE(2016,6,23),A16&lt;=DATE(2016,7,6)),"Promo 3",IF(AND(A16&gt;=DATE(2016,6,9),A16&lt;=DATE(2016,6,22)),"Baseline 3","Other"))))))</f>
        <v>Other</v>
      </c>
    </row>
    <row r="17" customFormat="false" ht="15" hidden="false" customHeight="true" outlineLevel="0" collapsed="false">
      <c r="A17" s="12" t="n">
        <v>41653</v>
      </c>
      <c r="B17" s="13" t="n">
        <v>80090.8000798927</v>
      </c>
      <c r="C17" s="13" t="n">
        <v>78096.7601822512</v>
      </c>
      <c r="D17" s="14" t="n">
        <v>2348</v>
      </c>
      <c r="E17" s="15" t="n">
        <f aca="false">B17/D17</f>
        <v>34.1102214991025</v>
      </c>
      <c r="F17" s="15" t="n">
        <f aca="false">C17/D17</f>
        <v>33.260971116802</v>
      </c>
      <c r="G17" s="13" t="n">
        <f aca="false">B17-C17</f>
        <v>1994.0398976415</v>
      </c>
      <c r="H17" s="16" t="n">
        <f aca="false">G17/B17</f>
        <v>0.0248972403278828</v>
      </c>
      <c r="I17" s="15" t="n">
        <f aca="false">G17/D17</f>
        <v>0.849250382300469</v>
      </c>
      <c r="J17" s="16" t="n">
        <f aca="false">I17/E17</f>
        <v>0.0248972403278828</v>
      </c>
      <c r="K17" s="17" t="str">
        <f aca="false">TEXT(A17,"dddd")</f>
        <v>Tuesday</v>
      </c>
      <c r="L17" s="17" t="str">
        <f aca="false">IF(AND(A17&gt;=DATE(2014,9,24),A17&lt;=DATE(2014,10,6)),"Promo 1",IF(AND(A17&gt;=DATE(2014,9,10),A17&lt;=DATE(2014,9,23)),"Baseline 1",IF(AND(A17&gt;=DATE(2015,9,23),A17&lt;=DATE(2015,10,6)),"Promo 2",IF(AND(A17&gt;=DATE(2015,9,9),A17&lt;=DATE(2015,9,22)),"Baseline 2",IF(AND(A17&gt;=DATE(2016,6,23),A17&lt;=DATE(2016,7,6)),"Promo 3",IF(AND(A17&gt;=DATE(2016,6,9),A17&lt;=DATE(2016,6,22)),"Baseline 3","Other"))))))</f>
        <v>Other</v>
      </c>
    </row>
    <row r="18" customFormat="false" ht="15" hidden="false" customHeight="true" outlineLevel="0" collapsed="false">
      <c r="A18" s="12" t="n">
        <v>41654</v>
      </c>
      <c r="B18" s="13" t="n">
        <v>98945.3711590778</v>
      </c>
      <c r="C18" s="13" t="n">
        <v>97159.00258687</v>
      </c>
      <c r="D18" s="14" t="n">
        <v>2903</v>
      </c>
      <c r="E18" s="15" t="n">
        <f aca="false">B18/D18</f>
        <v>34.0838343641329</v>
      </c>
      <c r="F18" s="15" t="n">
        <f aca="false">C18/D18</f>
        <v>33.4684817729487</v>
      </c>
      <c r="G18" s="13" t="n">
        <f aca="false">B18-C18</f>
        <v>1786.36857220779</v>
      </c>
      <c r="H18" s="16" t="n">
        <f aca="false">G18/B18</f>
        <v>0.0180540893553857</v>
      </c>
      <c r="I18" s="15" t="n">
        <f aca="false">G18/D18</f>
        <v>0.615352591184221</v>
      </c>
      <c r="J18" s="16" t="n">
        <f aca="false">I18/E18</f>
        <v>0.0180540893553857</v>
      </c>
      <c r="K18" s="17" t="str">
        <f aca="false">TEXT(A18,"dddd")</f>
        <v>Wednesday</v>
      </c>
      <c r="L18" s="17" t="str">
        <f aca="false">IF(AND(A18&gt;=DATE(2014,9,24),A18&lt;=DATE(2014,10,6)),"Promo 1",IF(AND(A18&gt;=DATE(2014,9,10),A18&lt;=DATE(2014,9,23)),"Baseline 1",IF(AND(A18&gt;=DATE(2015,9,23),A18&lt;=DATE(2015,10,6)),"Promo 2",IF(AND(A18&gt;=DATE(2015,9,9),A18&lt;=DATE(2015,9,22)),"Baseline 2",IF(AND(A18&gt;=DATE(2016,6,23),A18&lt;=DATE(2016,7,6)),"Promo 3",IF(AND(A18&gt;=DATE(2016,6,9),A18&lt;=DATE(2016,6,22)),"Baseline 3","Other"))))))</f>
        <v>Other</v>
      </c>
    </row>
    <row r="19" customFormat="false" ht="15" hidden="false" customHeight="true" outlineLevel="0" collapsed="false">
      <c r="A19" s="12" t="n">
        <v>41655</v>
      </c>
      <c r="B19" s="13" t="n">
        <v>84904.9017141078</v>
      </c>
      <c r="C19" s="13" t="n">
        <v>83350.4331588246</v>
      </c>
      <c r="D19" s="14" t="n">
        <v>2491</v>
      </c>
      <c r="E19" s="15" t="n">
        <f aca="false">B19/D19</f>
        <v>34.0846654813761</v>
      </c>
      <c r="F19" s="15" t="n">
        <f aca="false">C19/D19</f>
        <v>33.4606315370633</v>
      </c>
      <c r="G19" s="13" t="n">
        <f aca="false">B19-C19</f>
        <v>1554.46855528319</v>
      </c>
      <c r="H19" s="16" t="n">
        <f aca="false">G19/B19</f>
        <v>0.0183083487984876</v>
      </c>
      <c r="I19" s="15" t="n">
        <f aca="false">G19/D19</f>
        <v>0.624033944312804</v>
      </c>
      <c r="J19" s="16" t="n">
        <f aca="false">I19/E19</f>
        <v>0.0183083487984876</v>
      </c>
      <c r="K19" s="17" t="str">
        <f aca="false">TEXT(A19,"dddd")</f>
        <v>Thursday</v>
      </c>
      <c r="L19" s="17" t="str">
        <f aca="false">IF(AND(A19&gt;=DATE(2014,9,24),A19&lt;=DATE(2014,10,6)),"Promo 1",IF(AND(A19&gt;=DATE(2014,9,10),A19&lt;=DATE(2014,9,23)),"Baseline 1",IF(AND(A19&gt;=DATE(2015,9,23),A19&lt;=DATE(2015,10,6)),"Promo 2",IF(AND(A19&gt;=DATE(2015,9,9),A19&lt;=DATE(2015,9,22)),"Baseline 2",IF(AND(A19&gt;=DATE(2016,6,23),A19&lt;=DATE(2016,7,6)),"Promo 3",IF(AND(A19&gt;=DATE(2016,6,9),A19&lt;=DATE(2016,6,22)),"Baseline 3","Other"))))))</f>
        <v>Other</v>
      </c>
    </row>
    <row r="20" customFormat="false" ht="15" hidden="false" customHeight="true" outlineLevel="0" collapsed="false">
      <c r="A20" s="12" t="n">
        <v>41656</v>
      </c>
      <c r="B20" s="13" t="n">
        <v>135460.619703985</v>
      </c>
      <c r="C20" s="13" t="n">
        <v>132703.335419772</v>
      </c>
      <c r="D20" s="14" t="n">
        <v>3968</v>
      </c>
      <c r="E20" s="15" t="n">
        <f aca="false">B20/D20</f>
        <v>34.1382610141091</v>
      </c>
      <c r="F20" s="15" t="n">
        <f aca="false">C20/D20</f>
        <v>33.4433809021603</v>
      </c>
      <c r="G20" s="13" t="n">
        <f aca="false">B20-C20</f>
        <v>2757.28428421301</v>
      </c>
      <c r="H20" s="16" t="n">
        <f aca="false">G20/B20</f>
        <v>0.0203548772347148</v>
      </c>
      <c r="I20" s="15" t="n">
        <f aca="false">G20/D20</f>
        <v>0.694880111948842</v>
      </c>
      <c r="J20" s="16" t="n">
        <f aca="false">I20/E20</f>
        <v>0.0203548772347148</v>
      </c>
      <c r="K20" s="17" t="str">
        <f aca="false">TEXT(A20,"dddd")</f>
        <v>Friday</v>
      </c>
      <c r="L20" s="17" t="str">
        <f aca="false">IF(AND(A20&gt;=DATE(2014,9,24),A20&lt;=DATE(2014,10,6)),"Promo 1",IF(AND(A20&gt;=DATE(2014,9,10),A20&lt;=DATE(2014,9,23)),"Baseline 1",IF(AND(A20&gt;=DATE(2015,9,23),A20&lt;=DATE(2015,10,6)),"Promo 2",IF(AND(A20&gt;=DATE(2015,9,9),A20&lt;=DATE(2015,9,22)),"Baseline 2",IF(AND(A20&gt;=DATE(2016,6,23),A20&lt;=DATE(2016,7,6)),"Promo 3",IF(AND(A20&gt;=DATE(2016,6,9),A20&lt;=DATE(2016,6,22)),"Baseline 3","Other"))))))</f>
        <v>Other</v>
      </c>
    </row>
    <row r="21" customFormat="false" ht="15" hidden="false" customHeight="true" outlineLevel="0" collapsed="false">
      <c r="A21" s="12" t="n">
        <v>41657</v>
      </c>
      <c r="B21" s="13" t="n">
        <v>149925.749685775</v>
      </c>
      <c r="C21" s="13" t="n">
        <v>146928.411780892</v>
      </c>
      <c r="D21" s="14" t="n">
        <v>4393</v>
      </c>
      <c r="E21" s="15" t="n">
        <f aca="false">B21/D21</f>
        <v>34.1283290884987</v>
      </c>
      <c r="F21" s="15" t="n">
        <f aca="false">C21/D21</f>
        <v>33.4460304531965</v>
      </c>
      <c r="G21" s="13" t="n">
        <f aca="false">B21-C21</f>
        <v>2997.337904883</v>
      </c>
      <c r="H21" s="16" t="n">
        <f aca="false">G21/B21</f>
        <v>0.0199921488547833</v>
      </c>
      <c r="I21" s="15" t="n">
        <f aca="false">G21/D21</f>
        <v>0.682298635302298</v>
      </c>
      <c r="J21" s="16" t="n">
        <f aca="false">I21/E21</f>
        <v>0.0199921488547833</v>
      </c>
      <c r="K21" s="17" t="str">
        <f aca="false">TEXT(A21,"dddd")</f>
        <v>Saturday</v>
      </c>
      <c r="L21" s="17" t="str">
        <f aca="false">IF(AND(A21&gt;=DATE(2014,9,24),A21&lt;=DATE(2014,10,6)),"Promo 1",IF(AND(A21&gt;=DATE(2014,9,10),A21&lt;=DATE(2014,9,23)),"Baseline 1",IF(AND(A21&gt;=DATE(2015,9,23),A21&lt;=DATE(2015,10,6)),"Promo 2",IF(AND(A21&gt;=DATE(2015,9,9),A21&lt;=DATE(2015,9,22)),"Baseline 2",IF(AND(A21&gt;=DATE(2016,6,23),A21&lt;=DATE(2016,7,6)),"Promo 3",IF(AND(A21&gt;=DATE(2016,6,9),A21&lt;=DATE(2016,6,22)),"Baseline 3","Other"))))))</f>
        <v>Other</v>
      </c>
    </row>
    <row r="22" customFormat="false" ht="15" hidden="false" customHeight="true" outlineLevel="0" collapsed="false">
      <c r="A22" s="12" t="n">
        <v>41658</v>
      </c>
      <c r="B22" s="13" t="n">
        <v>74297.3071841829</v>
      </c>
      <c r="C22" s="13" t="n">
        <v>72782.2843214029</v>
      </c>
      <c r="D22" s="14" t="n">
        <v>2176</v>
      </c>
      <c r="E22" s="15" t="n">
        <f aca="false">B22/D22</f>
        <v>34.1439830809664</v>
      </c>
      <c r="F22" s="15" t="n">
        <f aca="false">C22/D22</f>
        <v>33.4477409565271</v>
      </c>
      <c r="G22" s="13" t="n">
        <f aca="false">B22-C22</f>
        <v>1515.02286278</v>
      </c>
      <c r="H22" s="16" t="n">
        <f aca="false">G22/B22</f>
        <v>0.0203913562980722</v>
      </c>
      <c r="I22" s="15" t="n">
        <f aca="false">G22/D22</f>
        <v>0.696242124439336</v>
      </c>
      <c r="J22" s="16" t="n">
        <f aca="false">I22/E22</f>
        <v>0.0203913562980722</v>
      </c>
      <c r="K22" s="17" t="str">
        <f aca="false">TEXT(A22,"dddd")</f>
        <v>Sunday</v>
      </c>
      <c r="L22" s="17" t="str">
        <f aca="false">IF(AND(A22&gt;=DATE(2014,9,24),A22&lt;=DATE(2014,10,6)),"Promo 1",IF(AND(A22&gt;=DATE(2014,9,10),A22&lt;=DATE(2014,9,23)),"Baseline 1",IF(AND(A22&gt;=DATE(2015,9,23),A22&lt;=DATE(2015,10,6)),"Promo 2",IF(AND(A22&gt;=DATE(2015,9,9),A22&lt;=DATE(2015,9,22)),"Baseline 2",IF(AND(A22&gt;=DATE(2016,6,23),A22&lt;=DATE(2016,7,6)),"Promo 3",IF(AND(A22&gt;=DATE(2016,6,9),A22&lt;=DATE(2016,6,22)),"Baseline 3","Other"))))))</f>
        <v>Other</v>
      </c>
    </row>
    <row r="23" customFormat="false" ht="15" hidden="false" customHeight="true" outlineLevel="0" collapsed="false">
      <c r="A23" s="12" t="n">
        <v>41659</v>
      </c>
      <c r="B23" s="13" t="n">
        <v>83356.4245612027</v>
      </c>
      <c r="C23" s="13" t="n">
        <v>81789.1361223528</v>
      </c>
      <c r="D23" s="14" t="n">
        <v>2443</v>
      </c>
      <c r="E23" s="15" t="n">
        <f aca="false">B23/D23</f>
        <v>34.1205176263621</v>
      </c>
      <c r="F23" s="15" t="n">
        <f aca="false">C23/D23</f>
        <v>33.478975080783</v>
      </c>
      <c r="G23" s="13" t="n">
        <f aca="false">B23-C23</f>
        <v>1567.28843884991</v>
      </c>
      <c r="H23" s="16" t="n">
        <f aca="false">G23/B23</f>
        <v>0.0188022512613789</v>
      </c>
      <c r="I23" s="15" t="n">
        <f aca="false">G23/D23</f>
        <v>0.641542545579168</v>
      </c>
      <c r="J23" s="16" t="n">
        <f aca="false">I23/E23</f>
        <v>0.0188022512613789</v>
      </c>
      <c r="K23" s="17" t="str">
        <f aca="false">TEXT(A23,"dddd")</f>
        <v>Monday</v>
      </c>
      <c r="L23" s="17" t="str">
        <f aca="false">IF(AND(A23&gt;=DATE(2014,9,24),A23&lt;=DATE(2014,10,6)),"Promo 1",IF(AND(A23&gt;=DATE(2014,9,10),A23&lt;=DATE(2014,9,23)),"Baseline 1",IF(AND(A23&gt;=DATE(2015,9,23),A23&lt;=DATE(2015,10,6)),"Promo 2",IF(AND(A23&gt;=DATE(2015,9,9),A23&lt;=DATE(2015,9,22)),"Baseline 2",IF(AND(A23&gt;=DATE(2016,6,23),A23&lt;=DATE(2016,7,6)),"Promo 3",IF(AND(A23&gt;=DATE(2016,6,9),A23&lt;=DATE(2016,6,22)),"Baseline 3","Other"))))))</f>
        <v>Other</v>
      </c>
    </row>
    <row r="24" customFormat="false" ht="15" hidden="false" customHeight="true" outlineLevel="0" collapsed="false">
      <c r="A24" s="12" t="n">
        <v>41660</v>
      </c>
      <c r="B24" s="13" t="n">
        <v>89922.0142861726</v>
      </c>
      <c r="C24" s="13" t="n">
        <v>88388.9160691597</v>
      </c>
      <c r="D24" s="14" t="n">
        <v>2638</v>
      </c>
      <c r="E24" s="15" t="n">
        <f aca="false">B24/D24</f>
        <v>34.0871926786098</v>
      </c>
      <c r="F24" s="15" t="n">
        <f aca="false">C24/D24</f>
        <v>33.5060333848217</v>
      </c>
      <c r="G24" s="13" t="n">
        <f aca="false">B24-C24</f>
        <v>1533.0982170129</v>
      </c>
      <c r="H24" s="16" t="n">
        <f aca="false">G24/B24</f>
        <v>0.0170491978986801</v>
      </c>
      <c r="I24" s="15" t="n">
        <f aca="false">G24/D24</f>
        <v>0.581159293788059</v>
      </c>
      <c r="J24" s="16" t="n">
        <f aca="false">I24/E24</f>
        <v>0.0170491978986801</v>
      </c>
      <c r="K24" s="17" t="str">
        <f aca="false">TEXT(A24,"dddd")</f>
        <v>Tuesday</v>
      </c>
      <c r="L24" s="17" t="str">
        <f aca="false">IF(AND(A24&gt;=DATE(2014,9,24),A24&lt;=DATE(2014,10,6)),"Promo 1",IF(AND(A24&gt;=DATE(2014,9,10),A24&lt;=DATE(2014,9,23)),"Baseline 1",IF(AND(A24&gt;=DATE(2015,9,23),A24&lt;=DATE(2015,10,6)),"Promo 2",IF(AND(A24&gt;=DATE(2015,9,9),A24&lt;=DATE(2015,9,22)),"Baseline 2",IF(AND(A24&gt;=DATE(2016,6,23),A24&lt;=DATE(2016,7,6)),"Promo 3",IF(AND(A24&gt;=DATE(2016,6,9),A24&lt;=DATE(2016,6,22)),"Baseline 3","Other"))))))</f>
        <v>Other</v>
      </c>
    </row>
    <row r="25" customFormat="false" ht="15" hidden="false" customHeight="true" outlineLevel="0" collapsed="false">
      <c r="A25" s="12" t="n">
        <v>41661</v>
      </c>
      <c r="B25" s="13" t="n">
        <v>57806.302780099</v>
      </c>
      <c r="C25" s="13" t="n">
        <v>57157.2825440923</v>
      </c>
      <c r="D25" s="14" t="n">
        <v>1704</v>
      </c>
      <c r="E25" s="15" t="n">
        <f aca="false">B25/D25</f>
        <v>33.9238866080393</v>
      </c>
      <c r="F25" s="15" t="n">
        <f aca="false">C25/D25</f>
        <v>33.5430061878476</v>
      </c>
      <c r="G25" s="13" t="n">
        <f aca="false">B25-C25</f>
        <v>649.020236006705</v>
      </c>
      <c r="H25" s="16" t="n">
        <f aca="false">G25/B25</f>
        <v>0.0112274995077205</v>
      </c>
      <c r="I25" s="15" t="n">
        <f aca="false">G25/D25</f>
        <v>0.380880420191728</v>
      </c>
      <c r="J25" s="16" t="n">
        <f aca="false">I25/E25</f>
        <v>0.0112274995077205</v>
      </c>
      <c r="K25" s="17" t="str">
        <f aca="false">TEXT(A25,"dddd")</f>
        <v>Wednesday</v>
      </c>
      <c r="L25" s="17" t="str">
        <f aca="false">IF(AND(A25&gt;=DATE(2014,9,24),A25&lt;=DATE(2014,10,6)),"Promo 1",IF(AND(A25&gt;=DATE(2014,9,10),A25&lt;=DATE(2014,9,23)),"Baseline 1",IF(AND(A25&gt;=DATE(2015,9,23),A25&lt;=DATE(2015,10,6)),"Promo 2",IF(AND(A25&gt;=DATE(2015,9,9),A25&lt;=DATE(2015,9,22)),"Baseline 2",IF(AND(A25&gt;=DATE(2016,6,23),A25&lt;=DATE(2016,7,6)),"Promo 3",IF(AND(A25&gt;=DATE(2016,6,9),A25&lt;=DATE(2016,6,22)),"Baseline 3","Other"))))))</f>
        <v>Other</v>
      </c>
    </row>
    <row r="26" customFormat="false" ht="15" hidden="false" customHeight="true" outlineLevel="0" collapsed="false">
      <c r="A26" s="12" t="n">
        <v>41662</v>
      </c>
      <c r="B26" s="13" t="n">
        <v>63977.7503489236</v>
      </c>
      <c r="C26" s="13" t="n">
        <v>62863.987239063</v>
      </c>
      <c r="D26" s="14" t="n">
        <v>1872</v>
      </c>
      <c r="E26" s="15" t="n">
        <f aca="false">B26/D26</f>
        <v>34.1761486906643</v>
      </c>
      <c r="F26" s="15" t="n">
        <f aca="false">C26/D26</f>
        <v>33.5811897644567</v>
      </c>
      <c r="G26" s="13" t="n">
        <f aca="false">B26-C26</f>
        <v>1113.7631098606</v>
      </c>
      <c r="H26" s="16" t="n">
        <f aca="false">G26/B26</f>
        <v>0.0174086007055004</v>
      </c>
      <c r="I26" s="15" t="n">
        <f aca="false">G26/D26</f>
        <v>0.594958926207585</v>
      </c>
      <c r="J26" s="16" t="n">
        <f aca="false">I26/E26</f>
        <v>0.0174086007055004</v>
      </c>
      <c r="K26" s="17" t="str">
        <f aca="false">TEXT(A26,"dddd")</f>
        <v>Thursday</v>
      </c>
      <c r="L26" s="17" t="str">
        <f aca="false">IF(AND(A26&gt;=DATE(2014,9,24),A26&lt;=DATE(2014,10,6)),"Promo 1",IF(AND(A26&gt;=DATE(2014,9,10),A26&lt;=DATE(2014,9,23)),"Baseline 1",IF(AND(A26&gt;=DATE(2015,9,23),A26&lt;=DATE(2015,10,6)),"Promo 2",IF(AND(A26&gt;=DATE(2015,9,9),A26&lt;=DATE(2015,9,22)),"Baseline 2",IF(AND(A26&gt;=DATE(2016,6,23),A26&lt;=DATE(2016,7,6)),"Promo 3",IF(AND(A26&gt;=DATE(2016,6,9),A26&lt;=DATE(2016,6,22)),"Baseline 3","Other"))))))</f>
        <v>Other</v>
      </c>
    </row>
    <row r="27" customFormat="false" ht="15" hidden="false" customHeight="true" outlineLevel="0" collapsed="false">
      <c r="A27" s="12" t="n">
        <v>41663</v>
      </c>
      <c r="B27" s="13" t="n">
        <v>116958.799847952</v>
      </c>
      <c r="C27" s="13" t="n">
        <v>114823.795223813</v>
      </c>
      <c r="D27" s="14" t="n">
        <v>3423</v>
      </c>
      <c r="E27" s="15" t="n">
        <f aca="false">B27/D27</f>
        <v>34.1685071130447</v>
      </c>
      <c r="F27" s="15" t="n">
        <f aca="false">C27/D27</f>
        <v>33.5447838807517</v>
      </c>
      <c r="G27" s="13" t="n">
        <f aca="false">B27-C27</f>
        <v>2135.00462413901</v>
      </c>
      <c r="H27" s="16" t="n">
        <f aca="false">G27/B27</f>
        <v>0.018254330814907</v>
      </c>
      <c r="I27" s="15" t="n">
        <f aca="false">G27/D27</f>
        <v>0.62372323229302</v>
      </c>
      <c r="J27" s="16" t="n">
        <f aca="false">I27/E27</f>
        <v>0.018254330814907</v>
      </c>
      <c r="K27" s="17" t="str">
        <f aca="false">TEXT(A27,"dddd")</f>
        <v>Friday</v>
      </c>
      <c r="L27" s="17" t="str">
        <f aca="false">IF(AND(A27&gt;=DATE(2014,9,24),A27&lt;=DATE(2014,10,6)),"Promo 1",IF(AND(A27&gt;=DATE(2014,9,10),A27&lt;=DATE(2014,9,23)),"Baseline 1",IF(AND(A27&gt;=DATE(2015,9,23),A27&lt;=DATE(2015,10,6)),"Promo 2",IF(AND(A27&gt;=DATE(2015,9,9),A27&lt;=DATE(2015,9,22)),"Baseline 2",IF(AND(A27&gt;=DATE(2016,6,23),A27&lt;=DATE(2016,7,6)),"Promo 3",IF(AND(A27&gt;=DATE(2016,6,9),A27&lt;=DATE(2016,6,22)),"Baseline 3","Other"))))))</f>
        <v>Other</v>
      </c>
    </row>
    <row r="28" customFormat="false" ht="15" hidden="false" customHeight="true" outlineLevel="0" collapsed="false">
      <c r="A28" s="12" t="n">
        <v>41664</v>
      </c>
      <c r="B28" s="13" t="n">
        <v>155272.82480548</v>
      </c>
      <c r="C28" s="13" t="n">
        <v>152636.276562366</v>
      </c>
      <c r="D28" s="14" t="n">
        <v>4544</v>
      </c>
      <c r="E28" s="15" t="n">
        <f aca="false">B28/D28</f>
        <v>34.1709561631778</v>
      </c>
      <c r="F28" s="15" t="n">
        <f aca="false">C28/D28</f>
        <v>33.5907298772813</v>
      </c>
      <c r="G28" s="13" t="n">
        <f aca="false">B28-C28</f>
        <v>2636.548243114</v>
      </c>
      <c r="H28" s="16" t="n">
        <f aca="false">G28/B28</f>
        <v>0.0169801009701277</v>
      </c>
      <c r="I28" s="15" t="n">
        <f aca="false">G28/D28</f>
        <v>0.580226285896566</v>
      </c>
      <c r="J28" s="16" t="n">
        <f aca="false">I28/E28</f>
        <v>0.0169801009701277</v>
      </c>
      <c r="K28" s="17" t="str">
        <f aca="false">TEXT(A28,"dddd")</f>
        <v>Saturday</v>
      </c>
      <c r="L28" s="17" t="str">
        <f aca="false">IF(AND(A28&gt;=DATE(2014,9,24),A28&lt;=DATE(2014,10,6)),"Promo 1",IF(AND(A28&gt;=DATE(2014,9,10),A28&lt;=DATE(2014,9,23)),"Baseline 1",IF(AND(A28&gt;=DATE(2015,9,23),A28&lt;=DATE(2015,10,6)),"Promo 2",IF(AND(A28&gt;=DATE(2015,9,9),A28&lt;=DATE(2015,9,22)),"Baseline 2",IF(AND(A28&gt;=DATE(2016,6,23),A28&lt;=DATE(2016,7,6)),"Promo 3",IF(AND(A28&gt;=DATE(2016,6,9),A28&lt;=DATE(2016,6,22)),"Baseline 3","Other"))))))</f>
        <v>Other</v>
      </c>
    </row>
    <row r="29" customFormat="false" ht="15" hidden="false" customHeight="true" outlineLevel="0" collapsed="false">
      <c r="A29" s="12" t="n">
        <v>41665</v>
      </c>
      <c r="B29" s="13" t="n">
        <v>82885.2159097627</v>
      </c>
      <c r="C29" s="13" t="n">
        <v>81583.1669498532</v>
      </c>
      <c r="D29" s="14" t="n">
        <v>2426</v>
      </c>
      <c r="E29" s="15" t="n">
        <f aca="false">B29/D29</f>
        <v>34.1653816610728</v>
      </c>
      <c r="F29" s="15" t="n">
        <f aca="false">C29/D29</f>
        <v>33.6286755770211</v>
      </c>
      <c r="G29" s="13" t="n">
        <f aca="false">B29-C29</f>
        <v>1302.0489599095</v>
      </c>
      <c r="H29" s="16" t="n">
        <f aca="false">G29/B29</f>
        <v>0.0157090615692797</v>
      </c>
      <c r="I29" s="15" t="n">
        <f aca="false">G29/D29</f>
        <v>0.536706084051732</v>
      </c>
      <c r="J29" s="16" t="n">
        <f aca="false">I29/E29</f>
        <v>0.0157090615692797</v>
      </c>
      <c r="K29" s="17" t="str">
        <f aca="false">TEXT(A29,"dddd")</f>
        <v>Sunday</v>
      </c>
      <c r="L29" s="17" t="str">
        <f aca="false">IF(AND(A29&gt;=DATE(2014,9,24),A29&lt;=DATE(2014,10,6)),"Promo 1",IF(AND(A29&gt;=DATE(2014,9,10),A29&lt;=DATE(2014,9,23)),"Baseline 1",IF(AND(A29&gt;=DATE(2015,9,23),A29&lt;=DATE(2015,10,6)),"Promo 2",IF(AND(A29&gt;=DATE(2015,9,9),A29&lt;=DATE(2015,9,22)),"Baseline 2",IF(AND(A29&gt;=DATE(2016,6,23),A29&lt;=DATE(2016,7,6)),"Promo 3",IF(AND(A29&gt;=DATE(2016,6,9),A29&lt;=DATE(2016,6,22)),"Baseline 3","Other"))))))</f>
        <v>Other</v>
      </c>
    </row>
    <row r="30" customFormat="false" ht="15" hidden="false" customHeight="true" outlineLevel="0" collapsed="false">
      <c r="A30" s="12" t="n">
        <v>41666</v>
      </c>
      <c r="B30" s="13" t="n">
        <v>72353.4258824533</v>
      </c>
      <c r="C30" s="13" t="n">
        <v>71377.1564554363</v>
      </c>
      <c r="D30" s="14" t="n">
        <v>2117</v>
      </c>
      <c r="E30" s="15" t="n">
        <f aca="false">B30/D30</f>
        <v>34.1773386312959</v>
      </c>
      <c r="F30" s="15" t="n">
        <f aca="false">C30/D30</f>
        <v>33.7161816038906</v>
      </c>
      <c r="G30" s="13" t="n">
        <f aca="false">B30-C30</f>
        <v>976.269427017003</v>
      </c>
      <c r="H30" s="16" t="n">
        <f aca="false">G30/B30</f>
        <v>0.0134930642897693</v>
      </c>
      <c r="I30" s="15" t="n">
        <f aca="false">G30/D30</f>
        <v>0.461157027405292</v>
      </c>
      <c r="J30" s="16" t="n">
        <f aca="false">I30/E30</f>
        <v>0.0134930642897693</v>
      </c>
      <c r="K30" s="17" t="str">
        <f aca="false">TEXT(A30,"dddd")</f>
        <v>Monday</v>
      </c>
      <c r="L30" s="17" t="str">
        <f aca="false">IF(AND(A30&gt;=DATE(2014,9,24),A30&lt;=DATE(2014,10,6)),"Promo 1",IF(AND(A30&gt;=DATE(2014,9,10),A30&lt;=DATE(2014,9,23)),"Baseline 1",IF(AND(A30&gt;=DATE(2015,9,23),A30&lt;=DATE(2015,10,6)),"Promo 2",IF(AND(A30&gt;=DATE(2015,9,9),A30&lt;=DATE(2015,9,22)),"Baseline 2",IF(AND(A30&gt;=DATE(2016,6,23),A30&lt;=DATE(2016,7,6)),"Promo 3",IF(AND(A30&gt;=DATE(2016,6,9),A30&lt;=DATE(2016,6,22)),"Baseline 3","Other"))))))</f>
        <v>Other</v>
      </c>
    </row>
    <row r="31" customFormat="false" ht="15" hidden="false" customHeight="true" outlineLevel="0" collapsed="false">
      <c r="A31" s="12" t="n">
        <v>41667</v>
      </c>
      <c r="B31" s="13" t="n">
        <v>50415.9037623892</v>
      </c>
      <c r="C31" s="13" t="n">
        <v>49769.0982430032</v>
      </c>
      <c r="D31" s="14" t="n">
        <v>1476</v>
      </c>
      <c r="E31" s="15" t="n">
        <f aca="false">B31/D31</f>
        <v>34.1571163701824</v>
      </c>
      <c r="F31" s="15" t="n">
        <f aca="false">C31/D31</f>
        <v>33.7189012486472</v>
      </c>
      <c r="G31" s="13" t="n">
        <f aca="false">B31-C31</f>
        <v>646.805519385998</v>
      </c>
      <c r="H31" s="16" t="n">
        <f aca="false">G31/B31</f>
        <v>0.0128293945187297</v>
      </c>
      <c r="I31" s="15" t="n">
        <f aca="false">G31/D31</f>
        <v>0.438215121535229</v>
      </c>
      <c r="J31" s="16" t="n">
        <f aca="false">I31/E31</f>
        <v>0.0128293945187297</v>
      </c>
      <c r="K31" s="17" t="str">
        <f aca="false">TEXT(A31,"dddd")</f>
        <v>Tuesday</v>
      </c>
      <c r="L31" s="17" t="str">
        <f aca="false">IF(AND(A31&gt;=DATE(2014,9,24),A31&lt;=DATE(2014,10,6)),"Promo 1",IF(AND(A31&gt;=DATE(2014,9,10),A31&lt;=DATE(2014,9,23)),"Baseline 1",IF(AND(A31&gt;=DATE(2015,9,23),A31&lt;=DATE(2015,10,6)),"Promo 2",IF(AND(A31&gt;=DATE(2015,9,9),A31&lt;=DATE(2015,9,22)),"Baseline 2",IF(AND(A31&gt;=DATE(2016,6,23),A31&lt;=DATE(2016,7,6)),"Promo 3",IF(AND(A31&gt;=DATE(2016,6,9),A31&lt;=DATE(2016,6,22)),"Baseline 3","Other"))))))</f>
        <v>Other</v>
      </c>
    </row>
    <row r="32" customFormat="false" ht="15" hidden="false" customHeight="true" outlineLevel="0" collapsed="false">
      <c r="A32" s="12" t="n">
        <v>41668</v>
      </c>
      <c r="B32" s="13" t="n">
        <v>67458.3018912738</v>
      </c>
      <c r="C32" s="13" t="n">
        <v>66529.4419965314</v>
      </c>
      <c r="D32" s="14" t="n">
        <v>1974</v>
      </c>
      <c r="E32" s="15" t="n">
        <f aca="false">B32/D32</f>
        <v>34.1734052134113</v>
      </c>
      <c r="F32" s="15" t="n">
        <f aca="false">C32/D32</f>
        <v>33.7028581542712</v>
      </c>
      <c r="G32" s="13" t="n">
        <f aca="false">B32-C32</f>
        <v>928.859894742403</v>
      </c>
      <c r="H32" s="16" t="n">
        <f aca="false">G32/B32</f>
        <v>0.013769393368951</v>
      </c>
      <c r="I32" s="15" t="n">
        <f aca="false">G32/D32</f>
        <v>0.470547059140022</v>
      </c>
      <c r="J32" s="16" t="n">
        <f aca="false">I32/E32</f>
        <v>0.013769393368951</v>
      </c>
      <c r="K32" s="17" t="str">
        <f aca="false">TEXT(A32,"dddd")</f>
        <v>Wednesday</v>
      </c>
      <c r="L32" s="17" t="str">
        <f aca="false">IF(AND(A32&gt;=DATE(2014,9,24),A32&lt;=DATE(2014,10,6)),"Promo 1",IF(AND(A32&gt;=DATE(2014,9,10),A32&lt;=DATE(2014,9,23)),"Baseline 1",IF(AND(A32&gt;=DATE(2015,9,23),A32&lt;=DATE(2015,10,6)),"Promo 2",IF(AND(A32&gt;=DATE(2015,9,9),A32&lt;=DATE(2015,9,22)),"Baseline 2",IF(AND(A32&gt;=DATE(2016,6,23),A32&lt;=DATE(2016,7,6)),"Promo 3",IF(AND(A32&gt;=DATE(2016,6,9),A32&lt;=DATE(2016,6,22)),"Baseline 3","Other"))))))</f>
        <v>Other</v>
      </c>
    </row>
    <row r="33" customFormat="false" ht="15" hidden="false" customHeight="true" outlineLevel="0" collapsed="false">
      <c r="A33" s="12" t="n">
        <v>41669</v>
      </c>
      <c r="B33" s="13" t="n">
        <v>64640.3693131938</v>
      </c>
      <c r="C33" s="13" t="n">
        <v>63757.8398684521</v>
      </c>
      <c r="D33" s="14" t="n">
        <v>1892</v>
      </c>
      <c r="E33" s="15" t="n">
        <f aca="false">B33/D33</f>
        <v>34.1651000598276</v>
      </c>
      <c r="F33" s="15" t="n">
        <f aca="false">C33/D33</f>
        <v>33.6986468649324</v>
      </c>
      <c r="G33" s="13" t="n">
        <f aca="false">B33-C33</f>
        <v>882.529444741696</v>
      </c>
      <c r="H33" s="16" t="n">
        <f aca="false">G33/B33</f>
        <v>0.0136529146432578</v>
      </c>
      <c r="I33" s="15" t="n">
        <f aca="false">G33/D33</f>
        <v>0.466453194895188</v>
      </c>
      <c r="J33" s="16" t="n">
        <f aca="false">I33/E33</f>
        <v>0.0136529146432578</v>
      </c>
      <c r="K33" s="17" t="str">
        <f aca="false">TEXT(A33,"dddd")</f>
        <v>Thursday</v>
      </c>
      <c r="L33" s="17" t="str">
        <f aca="false">IF(AND(A33&gt;=DATE(2014,9,24),A33&lt;=DATE(2014,10,6)),"Promo 1",IF(AND(A33&gt;=DATE(2014,9,10),A33&lt;=DATE(2014,9,23)),"Baseline 1",IF(AND(A33&gt;=DATE(2015,9,23),A33&lt;=DATE(2015,10,6)),"Promo 2",IF(AND(A33&gt;=DATE(2015,9,9),A33&lt;=DATE(2015,9,22)),"Baseline 2",IF(AND(A33&gt;=DATE(2016,6,23),A33&lt;=DATE(2016,7,6)),"Promo 3",IF(AND(A33&gt;=DATE(2016,6,9),A33&lt;=DATE(2016,6,22)),"Baseline 3","Other"))))))</f>
        <v>Other</v>
      </c>
    </row>
    <row r="34" customFormat="false" ht="15" hidden="false" customHeight="true" outlineLevel="0" collapsed="false">
      <c r="A34" s="12" t="n">
        <v>41670</v>
      </c>
      <c r="B34" s="13" t="n">
        <v>137693.873500331</v>
      </c>
      <c r="C34" s="13" t="n">
        <v>135609.50758205</v>
      </c>
      <c r="D34" s="14" t="n">
        <v>4030</v>
      </c>
      <c r="E34" s="15" t="n">
        <f aca="false">B34/D34</f>
        <v>34.1672142680722</v>
      </c>
      <c r="F34" s="15" t="n">
        <f aca="false">C34/D34</f>
        <v>33.650001881402</v>
      </c>
      <c r="G34" s="13" t="n">
        <f aca="false">B34-C34</f>
        <v>2084.36591828102</v>
      </c>
      <c r="H34" s="16" t="n">
        <f aca="false">G34/B34</f>
        <v>0.0151376808952652</v>
      </c>
      <c r="I34" s="15" t="n">
        <f aca="false">G34/D34</f>
        <v>0.517212386670229</v>
      </c>
      <c r="J34" s="16" t="n">
        <f aca="false">I34/E34</f>
        <v>0.0151376808952652</v>
      </c>
      <c r="K34" s="17" t="str">
        <f aca="false">TEXT(A34,"dddd")</f>
        <v>Friday</v>
      </c>
      <c r="L34" s="17" t="str">
        <f aca="false">IF(AND(A34&gt;=DATE(2014,9,24),A34&lt;=DATE(2014,10,6)),"Promo 1",IF(AND(A34&gt;=DATE(2014,9,10),A34&lt;=DATE(2014,9,23)),"Baseline 1",IF(AND(A34&gt;=DATE(2015,9,23),A34&lt;=DATE(2015,10,6)),"Promo 2",IF(AND(A34&gt;=DATE(2015,9,9),A34&lt;=DATE(2015,9,22)),"Baseline 2",IF(AND(A34&gt;=DATE(2016,6,23),A34&lt;=DATE(2016,7,6)),"Promo 3",IF(AND(A34&gt;=DATE(2016,6,9),A34&lt;=DATE(2016,6,22)),"Baseline 3","Other"))))))</f>
        <v>Other</v>
      </c>
    </row>
    <row r="35" customFormat="false" ht="15" hidden="false" customHeight="true" outlineLevel="0" collapsed="false">
      <c r="A35" s="12" t="n">
        <v>41671</v>
      </c>
      <c r="B35" s="13" t="n">
        <v>181209.128481213</v>
      </c>
      <c r="C35" s="13" t="n">
        <v>178435.715345796</v>
      </c>
      <c r="D35" s="14" t="n">
        <v>5304</v>
      </c>
      <c r="E35" s="15" t="n">
        <f aca="false">B35/D35</f>
        <v>34.1646169836374</v>
      </c>
      <c r="F35" s="15" t="n">
        <f aca="false">C35/D35</f>
        <v>33.6417261210023</v>
      </c>
      <c r="G35" s="13" t="n">
        <f aca="false">B35-C35</f>
        <v>2773.41313541701</v>
      </c>
      <c r="H35" s="16" t="n">
        <f aca="false">G35/B35</f>
        <v>0.015305040969305</v>
      </c>
      <c r="I35" s="15" t="n">
        <f aca="false">G35/D35</f>
        <v>0.522890862635183</v>
      </c>
      <c r="J35" s="16" t="n">
        <f aca="false">I35/E35</f>
        <v>0.015305040969305</v>
      </c>
      <c r="K35" s="17" t="str">
        <f aca="false">TEXT(A35,"dddd")</f>
        <v>Saturday</v>
      </c>
      <c r="L35" s="17" t="str">
        <f aca="false">IF(AND(A35&gt;=DATE(2014,9,24),A35&lt;=DATE(2014,10,6)),"Promo 1",IF(AND(A35&gt;=DATE(2014,9,10),A35&lt;=DATE(2014,9,23)),"Baseline 1",IF(AND(A35&gt;=DATE(2015,9,23),A35&lt;=DATE(2015,10,6)),"Promo 2",IF(AND(A35&gt;=DATE(2015,9,9),A35&lt;=DATE(2015,9,22)),"Baseline 2",IF(AND(A35&gt;=DATE(2016,6,23),A35&lt;=DATE(2016,7,6)),"Promo 3",IF(AND(A35&gt;=DATE(2016,6,9),A35&lt;=DATE(2016,6,22)),"Baseline 3","Other"))))))</f>
        <v>Other</v>
      </c>
    </row>
    <row r="36" customFormat="false" ht="15" hidden="false" customHeight="true" outlineLevel="0" collapsed="false">
      <c r="A36" s="12" t="n">
        <v>41672</v>
      </c>
      <c r="B36" s="13" t="n">
        <v>113433.581045457</v>
      </c>
      <c r="C36" s="13" t="n">
        <v>111466.516847537</v>
      </c>
      <c r="D36" s="14" t="n">
        <v>3320</v>
      </c>
      <c r="E36" s="15" t="n">
        <f aca="false">B36/D36</f>
        <v>34.1667412787521</v>
      </c>
      <c r="F36" s="15" t="n">
        <f aca="false">C36/D36</f>
        <v>33.5742520625111</v>
      </c>
      <c r="G36" s="13" t="n">
        <f aca="false">B36-C36</f>
        <v>1967.06419792</v>
      </c>
      <c r="H36" s="16" t="n">
        <f aca="false">G36/B36</f>
        <v>0.0173411099234514</v>
      </c>
      <c r="I36" s="15" t="n">
        <f aca="false">G36/D36</f>
        <v>0.592489216240964</v>
      </c>
      <c r="J36" s="16" t="n">
        <f aca="false">I36/E36</f>
        <v>0.0173411099234514</v>
      </c>
      <c r="K36" s="17" t="str">
        <f aca="false">TEXT(A36,"dddd")</f>
        <v>Sunday</v>
      </c>
      <c r="L36" s="17" t="str">
        <f aca="false">IF(AND(A36&gt;=DATE(2014,9,24),A36&lt;=DATE(2014,10,6)),"Promo 1",IF(AND(A36&gt;=DATE(2014,9,10),A36&lt;=DATE(2014,9,23)),"Baseline 1",IF(AND(A36&gt;=DATE(2015,9,23),A36&lt;=DATE(2015,10,6)),"Promo 2",IF(AND(A36&gt;=DATE(2015,9,9),A36&lt;=DATE(2015,9,22)),"Baseline 2",IF(AND(A36&gt;=DATE(2016,6,23),A36&lt;=DATE(2016,7,6)),"Promo 3",IF(AND(A36&gt;=DATE(2016,6,9),A36&lt;=DATE(2016,6,22)),"Baseline 3","Other"))))))</f>
        <v>Other</v>
      </c>
    </row>
    <row r="37" customFormat="false" ht="15" hidden="false" customHeight="true" outlineLevel="0" collapsed="false">
      <c r="A37" s="12" t="n">
        <v>41673</v>
      </c>
      <c r="B37" s="13" t="n">
        <v>143192.533356176</v>
      </c>
      <c r="C37" s="13" t="n">
        <v>140505.634723003</v>
      </c>
      <c r="D37" s="14" t="n">
        <v>4191</v>
      </c>
      <c r="E37" s="15" t="n">
        <f aca="false">B37/D37</f>
        <v>34.1666746256683</v>
      </c>
      <c r="F37" s="15" t="n">
        <f aca="false">C37/D37</f>
        <v>33.525563045336</v>
      </c>
      <c r="G37" s="13" t="n">
        <f aca="false">B37-C37</f>
        <v>2686.898633173</v>
      </c>
      <c r="H37" s="16" t="n">
        <f aca="false">G37/B37</f>
        <v>0.0187642370045205</v>
      </c>
      <c r="I37" s="15" t="n">
        <f aca="false">G37/D37</f>
        <v>0.641111580332378</v>
      </c>
      <c r="J37" s="16" t="n">
        <f aca="false">I37/E37</f>
        <v>0.0187642370045205</v>
      </c>
      <c r="K37" s="17" t="str">
        <f aca="false">TEXT(A37,"dddd")</f>
        <v>Monday</v>
      </c>
      <c r="L37" s="17" t="str">
        <f aca="false">IF(AND(A37&gt;=DATE(2014,9,24),A37&lt;=DATE(2014,10,6)),"Promo 1",IF(AND(A37&gt;=DATE(2014,9,10),A37&lt;=DATE(2014,9,23)),"Baseline 1",IF(AND(A37&gt;=DATE(2015,9,23),A37&lt;=DATE(2015,10,6)),"Promo 2",IF(AND(A37&gt;=DATE(2015,9,9),A37&lt;=DATE(2015,9,22)),"Baseline 2",IF(AND(A37&gt;=DATE(2016,6,23),A37&lt;=DATE(2016,7,6)),"Promo 3",IF(AND(A37&gt;=DATE(2016,6,9),A37&lt;=DATE(2016,6,22)),"Baseline 3","Other"))))))</f>
        <v>Other</v>
      </c>
    </row>
    <row r="38" customFormat="false" ht="15" hidden="false" customHeight="true" outlineLevel="0" collapsed="false">
      <c r="A38" s="12" t="n">
        <v>41674</v>
      </c>
      <c r="B38" s="13" t="n">
        <v>130126.649892881</v>
      </c>
      <c r="C38" s="13" t="n">
        <v>128496.287701173</v>
      </c>
      <c r="D38" s="14" t="n">
        <v>3809</v>
      </c>
      <c r="E38" s="15" t="n">
        <f aca="false">B38/D38</f>
        <v>34.162943001544</v>
      </c>
      <c r="F38" s="15" t="n">
        <f aca="false">C38/D38</f>
        <v>33.7349140722428</v>
      </c>
      <c r="G38" s="13" t="n">
        <f aca="false">B38-C38</f>
        <v>1630.362191708</v>
      </c>
      <c r="H38" s="16" t="n">
        <f aca="false">G38/B38</f>
        <v>0.0125290414611465</v>
      </c>
      <c r="I38" s="15" t="n">
        <f aca="false">G38/D38</f>
        <v>0.428028929301129</v>
      </c>
      <c r="J38" s="16" t="n">
        <f aca="false">I38/E38</f>
        <v>0.0125290414611465</v>
      </c>
      <c r="K38" s="17" t="str">
        <f aca="false">TEXT(A38,"dddd")</f>
        <v>Tuesday</v>
      </c>
      <c r="L38" s="17" t="str">
        <f aca="false">IF(AND(A38&gt;=DATE(2014,9,24),A38&lt;=DATE(2014,10,6)),"Promo 1",IF(AND(A38&gt;=DATE(2014,9,10),A38&lt;=DATE(2014,9,23)),"Baseline 1",IF(AND(A38&gt;=DATE(2015,9,23),A38&lt;=DATE(2015,10,6)),"Promo 2",IF(AND(A38&gt;=DATE(2015,9,9),A38&lt;=DATE(2015,9,22)),"Baseline 2",IF(AND(A38&gt;=DATE(2016,6,23),A38&lt;=DATE(2016,7,6)),"Promo 3",IF(AND(A38&gt;=DATE(2016,6,9),A38&lt;=DATE(2016,6,22)),"Baseline 3","Other"))))))</f>
        <v>Other</v>
      </c>
    </row>
    <row r="39" customFormat="false" ht="15" hidden="false" customHeight="true" outlineLevel="0" collapsed="false">
      <c r="A39" s="12" t="n">
        <v>41675</v>
      </c>
      <c r="B39" s="13" t="n">
        <v>187155.86854574</v>
      </c>
      <c r="C39" s="13" t="n">
        <v>195078.603330943</v>
      </c>
      <c r="D39" s="14" t="n">
        <v>5764</v>
      </c>
      <c r="E39" s="15" t="n">
        <f aca="false">B39/D39</f>
        <v>32.4697898240354</v>
      </c>
      <c r="F39" s="15" t="n">
        <f aca="false">C39/D39</f>
        <v>33.844310085174</v>
      </c>
      <c r="G39" s="13" t="n">
        <f aca="false">B39-C39</f>
        <v>-7922.73478520301</v>
      </c>
      <c r="H39" s="16" t="n">
        <f aca="false">G39/B39</f>
        <v>-0.0423322808243479</v>
      </c>
      <c r="I39" s="15" t="n">
        <f aca="false">G39/D39</f>
        <v>-1.37452026113862</v>
      </c>
      <c r="J39" s="16" t="n">
        <f aca="false">I39/E39</f>
        <v>-0.0423322808243479</v>
      </c>
      <c r="K39" s="17" t="str">
        <f aca="false">TEXT(A39,"dddd")</f>
        <v>Wednesday</v>
      </c>
      <c r="L39" s="17" t="str">
        <f aca="false">IF(AND(A39&gt;=DATE(2014,9,24),A39&lt;=DATE(2014,10,6)),"Promo 1",IF(AND(A39&gt;=DATE(2014,9,10),A39&lt;=DATE(2014,9,23)),"Baseline 1",IF(AND(A39&gt;=DATE(2015,9,23),A39&lt;=DATE(2015,10,6)),"Promo 2",IF(AND(A39&gt;=DATE(2015,9,9),A39&lt;=DATE(2015,9,22)),"Baseline 2",IF(AND(A39&gt;=DATE(2016,6,23),A39&lt;=DATE(2016,7,6)),"Promo 3",IF(AND(A39&gt;=DATE(2016,6,9),A39&lt;=DATE(2016,6,22)),"Baseline 3","Other"))))))</f>
        <v>Other</v>
      </c>
    </row>
    <row r="40" customFormat="false" ht="15" hidden="false" customHeight="true" outlineLevel="0" collapsed="false">
      <c r="A40" s="12" t="n">
        <v>41676</v>
      </c>
      <c r="B40" s="13" t="n">
        <v>102314.709596504</v>
      </c>
      <c r="C40" s="13" t="n">
        <v>101977.989955289</v>
      </c>
      <c r="D40" s="14" t="n">
        <v>3028</v>
      </c>
      <c r="E40" s="15" t="n">
        <f aca="false">B40/D40</f>
        <v>33.7895342128481</v>
      </c>
      <c r="F40" s="15" t="n">
        <f aca="false">C40/D40</f>
        <v>33.6783322177309</v>
      </c>
      <c r="G40" s="13" t="n">
        <f aca="false">B40-C40</f>
        <v>336.719641215008</v>
      </c>
      <c r="H40" s="16" t="n">
        <f aca="false">G40/B40</f>
        <v>0.00329101888225966</v>
      </c>
      <c r="I40" s="15" t="n">
        <f aca="false">G40/D40</f>
        <v>0.111201995117242</v>
      </c>
      <c r="J40" s="16" t="n">
        <f aca="false">I40/E40</f>
        <v>0.00329101888225966</v>
      </c>
      <c r="K40" s="17" t="str">
        <f aca="false">TEXT(A40,"dddd")</f>
        <v>Thursday</v>
      </c>
      <c r="L40" s="17" t="str">
        <f aca="false">IF(AND(A40&gt;=DATE(2014,9,24),A40&lt;=DATE(2014,10,6)),"Promo 1",IF(AND(A40&gt;=DATE(2014,9,10),A40&lt;=DATE(2014,9,23)),"Baseline 1",IF(AND(A40&gt;=DATE(2015,9,23),A40&lt;=DATE(2015,10,6)),"Promo 2",IF(AND(A40&gt;=DATE(2015,9,9),A40&lt;=DATE(2015,9,22)),"Baseline 2",IF(AND(A40&gt;=DATE(2016,6,23),A40&lt;=DATE(2016,7,6)),"Promo 3",IF(AND(A40&gt;=DATE(2016,6,9),A40&lt;=DATE(2016,6,22)),"Baseline 3","Other"))))))</f>
        <v>Other</v>
      </c>
    </row>
    <row r="41" customFormat="false" ht="15" hidden="false" customHeight="true" outlineLevel="0" collapsed="false">
      <c r="A41" s="12" t="n">
        <v>41677</v>
      </c>
      <c r="B41" s="13" t="n">
        <v>301553.842555087</v>
      </c>
      <c r="C41" s="13" t="n">
        <v>313529.187748716</v>
      </c>
      <c r="D41" s="14" t="n">
        <v>9284</v>
      </c>
      <c r="E41" s="15" t="n">
        <f aca="false">B41/D41</f>
        <v>32.4810256952916</v>
      </c>
      <c r="F41" s="15" t="n">
        <f aca="false">C41/D41</f>
        <v>33.7709163882719</v>
      </c>
      <c r="G41" s="13" t="n">
        <f aca="false">B41-C41</f>
        <v>-11975.345193629</v>
      </c>
      <c r="H41" s="16" t="n">
        <f aca="false">G41/B41</f>
        <v>-0.0397121293237753</v>
      </c>
      <c r="I41" s="15" t="n">
        <f aca="false">G41/D41</f>
        <v>-1.28989069298029</v>
      </c>
      <c r="J41" s="16" t="n">
        <f aca="false">I41/E41</f>
        <v>-0.0397121293237753</v>
      </c>
      <c r="K41" s="17" t="str">
        <f aca="false">TEXT(A41,"dddd")</f>
        <v>Friday</v>
      </c>
      <c r="L41" s="17" t="str">
        <f aca="false">IF(AND(A41&gt;=DATE(2014,9,24),A41&lt;=DATE(2014,10,6)),"Promo 1",IF(AND(A41&gt;=DATE(2014,9,10),A41&lt;=DATE(2014,9,23)),"Baseline 1",IF(AND(A41&gt;=DATE(2015,9,23),A41&lt;=DATE(2015,10,6)),"Promo 2",IF(AND(A41&gt;=DATE(2015,9,9),A41&lt;=DATE(2015,9,22)),"Baseline 2",IF(AND(A41&gt;=DATE(2016,6,23),A41&lt;=DATE(2016,7,6)),"Promo 3",IF(AND(A41&gt;=DATE(2016,6,9),A41&lt;=DATE(2016,6,22)),"Baseline 3","Other"))))))</f>
        <v>Other</v>
      </c>
    </row>
    <row r="42" customFormat="false" ht="15" hidden="false" customHeight="true" outlineLevel="0" collapsed="false">
      <c r="A42" s="12" t="n">
        <v>41678</v>
      </c>
      <c r="B42" s="13" t="n">
        <v>316073.177549394</v>
      </c>
      <c r="C42" s="13" t="n">
        <v>329754.779463582</v>
      </c>
      <c r="D42" s="14" t="n">
        <v>9737</v>
      </c>
      <c r="E42" s="15" t="n">
        <f aca="false">B42/D42</f>
        <v>32.461043190859</v>
      </c>
      <c r="F42" s="15" t="n">
        <f aca="false">C42/D42</f>
        <v>33.8661578991047</v>
      </c>
      <c r="G42" s="13" t="n">
        <f aca="false">B42-C42</f>
        <v>-13681.601914188</v>
      </c>
      <c r="H42" s="16" t="n">
        <f aca="false">G42/B42</f>
        <v>-0.0432861846116312</v>
      </c>
      <c r="I42" s="15" t="n">
        <f aca="false">G42/D42</f>
        <v>-1.40511470824566</v>
      </c>
      <c r="J42" s="16" t="n">
        <f aca="false">I42/E42</f>
        <v>-0.0432861846116312</v>
      </c>
      <c r="K42" s="17" t="str">
        <f aca="false">TEXT(A42,"dddd")</f>
        <v>Saturday</v>
      </c>
      <c r="L42" s="17" t="str">
        <f aca="false">IF(AND(A42&gt;=DATE(2014,9,24),A42&lt;=DATE(2014,10,6)),"Promo 1",IF(AND(A42&gt;=DATE(2014,9,10),A42&lt;=DATE(2014,9,23)),"Baseline 1",IF(AND(A42&gt;=DATE(2015,9,23),A42&lt;=DATE(2015,10,6)),"Promo 2",IF(AND(A42&gt;=DATE(2015,9,9),A42&lt;=DATE(2015,9,22)),"Baseline 2",IF(AND(A42&gt;=DATE(2016,6,23),A42&lt;=DATE(2016,7,6)),"Promo 3",IF(AND(A42&gt;=DATE(2016,6,9),A42&lt;=DATE(2016,6,22)),"Baseline 3","Other"))))))</f>
        <v>Other</v>
      </c>
    </row>
    <row r="43" customFormat="false" ht="15" hidden="false" customHeight="true" outlineLevel="0" collapsed="false">
      <c r="A43" s="12" t="n">
        <v>41679</v>
      </c>
      <c r="B43" s="13" t="n">
        <v>135178.042554582</v>
      </c>
      <c r="C43" s="13" t="n">
        <v>141530.708683291</v>
      </c>
      <c r="D43" s="14" t="n">
        <v>4163</v>
      </c>
      <c r="E43" s="15" t="n">
        <f aca="false">B43/D43</f>
        <v>32.4713049614658</v>
      </c>
      <c r="F43" s="15" t="n">
        <f aca="false">C43/D43</f>
        <v>33.9972876971633</v>
      </c>
      <c r="G43" s="13" t="n">
        <f aca="false">B43-C43</f>
        <v>-6352.66612870901</v>
      </c>
      <c r="H43" s="16" t="n">
        <f aca="false">G43/B43</f>
        <v>-0.0469948078005638</v>
      </c>
      <c r="I43" s="15" t="n">
        <f aca="false">G43/D43</f>
        <v>-1.52598273569758</v>
      </c>
      <c r="J43" s="16" t="n">
        <f aca="false">I43/E43</f>
        <v>-0.0469948078005638</v>
      </c>
      <c r="K43" s="17" t="str">
        <f aca="false">TEXT(A43,"dddd")</f>
        <v>Sunday</v>
      </c>
      <c r="L43" s="17" t="str">
        <f aca="false">IF(AND(A43&gt;=DATE(2014,9,24),A43&lt;=DATE(2014,10,6)),"Promo 1",IF(AND(A43&gt;=DATE(2014,9,10),A43&lt;=DATE(2014,9,23)),"Baseline 1",IF(AND(A43&gt;=DATE(2015,9,23),A43&lt;=DATE(2015,10,6)),"Promo 2",IF(AND(A43&gt;=DATE(2015,9,9),A43&lt;=DATE(2015,9,22)),"Baseline 2",IF(AND(A43&gt;=DATE(2016,6,23),A43&lt;=DATE(2016,7,6)),"Promo 3",IF(AND(A43&gt;=DATE(2016,6,9),A43&lt;=DATE(2016,6,22)),"Baseline 3","Other"))))))</f>
        <v>Other</v>
      </c>
    </row>
    <row r="44" customFormat="false" ht="15" hidden="false" customHeight="true" outlineLevel="0" collapsed="false">
      <c r="A44" s="12" t="n">
        <v>41680</v>
      </c>
      <c r="B44" s="13" t="n">
        <v>147727.516186314</v>
      </c>
      <c r="C44" s="13" t="n">
        <v>154828.684575077</v>
      </c>
      <c r="D44" s="14" t="n">
        <v>4552</v>
      </c>
      <c r="E44" s="15" t="n">
        <f aca="false">B44/D44</f>
        <v>32.4533207790672</v>
      </c>
      <c r="F44" s="15" t="n">
        <f aca="false">C44/D44</f>
        <v>34.0133314092876</v>
      </c>
      <c r="G44" s="13" t="n">
        <f aca="false">B44-C44</f>
        <v>-7101.16838876301</v>
      </c>
      <c r="H44" s="16" t="n">
        <f aca="false">G44/B44</f>
        <v>-0.0480693683349215</v>
      </c>
      <c r="I44" s="15" t="n">
        <f aca="false">G44/D44</f>
        <v>-1.56001063022034</v>
      </c>
      <c r="J44" s="16" t="n">
        <f aca="false">I44/E44</f>
        <v>-0.0480693683349215</v>
      </c>
      <c r="K44" s="17" t="str">
        <f aca="false">TEXT(A44,"dddd")</f>
        <v>Monday</v>
      </c>
      <c r="L44" s="17" t="str">
        <f aca="false">IF(AND(A44&gt;=DATE(2014,9,24),A44&lt;=DATE(2014,10,6)),"Promo 1",IF(AND(A44&gt;=DATE(2014,9,10),A44&lt;=DATE(2014,9,23)),"Baseline 1",IF(AND(A44&gt;=DATE(2015,9,23),A44&lt;=DATE(2015,10,6)),"Promo 2",IF(AND(A44&gt;=DATE(2015,9,9),A44&lt;=DATE(2015,9,22)),"Baseline 2",IF(AND(A44&gt;=DATE(2016,6,23),A44&lt;=DATE(2016,7,6)),"Promo 3",IF(AND(A44&gt;=DATE(2016,6,9),A44&lt;=DATE(2016,6,22)),"Baseline 3","Other"))))))</f>
        <v>Other</v>
      </c>
    </row>
    <row r="45" customFormat="false" ht="15" hidden="false" customHeight="true" outlineLevel="0" collapsed="false">
      <c r="A45" s="12" t="n">
        <v>41681</v>
      </c>
      <c r="B45" s="13" t="n">
        <v>135498.746444386</v>
      </c>
      <c r="C45" s="13" t="n">
        <v>139824.161641013</v>
      </c>
      <c r="D45" s="14" t="n">
        <v>4172</v>
      </c>
      <c r="E45" s="15" t="n">
        <f aca="false">B45/D45</f>
        <v>32.4781271439084</v>
      </c>
      <c r="F45" s="15" t="n">
        <f aca="false">C45/D45</f>
        <v>33.5148997221987</v>
      </c>
      <c r="G45" s="13" t="n">
        <f aca="false">B45-C45</f>
        <v>-4325.415196627</v>
      </c>
      <c r="H45" s="16" t="n">
        <f aca="false">G45/B45</f>
        <v>-0.0319221786926444</v>
      </c>
      <c r="I45" s="15" t="n">
        <f aca="false">G45/D45</f>
        <v>-1.03677257829027</v>
      </c>
      <c r="J45" s="16" t="n">
        <f aca="false">I45/E45</f>
        <v>-0.0319221786926444</v>
      </c>
      <c r="K45" s="17" t="str">
        <f aca="false">TEXT(A45,"dddd")</f>
        <v>Tuesday</v>
      </c>
      <c r="L45" s="17" t="str">
        <f aca="false">IF(AND(A45&gt;=DATE(2014,9,24),A45&lt;=DATE(2014,10,6)),"Promo 1",IF(AND(A45&gt;=DATE(2014,9,10),A45&lt;=DATE(2014,9,23)),"Baseline 1",IF(AND(A45&gt;=DATE(2015,9,23),A45&lt;=DATE(2015,10,6)),"Promo 2",IF(AND(A45&gt;=DATE(2015,9,9),A45&lt;=DATE(2015,9,22)),"Baseline 2",IF(AND(A45&gt;=DATE(2016,6,23),A45&lt;=DATE(2016,7,6)),"Promo 3",IF(AND(A45&gt;=DATE(2016,6,9),A45&lt;=DATE(2016,6,22)),"Baseline 3","Other"))))))</f>
        <v>Other</v>
      </c>
    </row>
    <row r="46" customFormat="false" ht="15" hidden="false" customHeight="true" outlineLevel="0" collapsed="false">
      <c r="A46" s="12" t="n">
        <v>41682</v>
      </c>
      <c r="B46" s="13" t="n">
        <v>163432.845205282</v>
      </c>
      <c r="C46" s="13" t="n">
        <v>166893.368919005</v>
      </c>
      <c r="D46" s="14" t="n">
        <v>5037</v>
      </c>
      <c r="E46" s="15" t="n">
        <f aca="false">B46/D46</f>
        <v>32.4464651985869</v>
      </c>
      <c r="F46" s="15" t="n">
        <f aca="false">C46/D46</f>
        <v>33.1334859874936</v>
      </c>
      <c r="G46" s="13" t="n">
        <f aca="false">B46-C46</f>
        <v>-3460.523713723</v>
      </c>
      <c r="H46" s="16" t="n">
        <f aca="false">G46/B46</f>
        <v>-0.0211739794982848</v>
      </c>
      <c r="I46" s="15" t="n">
        <f aca="false">G46/D46</f>
        <v>-0.68702078890669</v>
      </c>
      <c r="J46" s="16" t="n">
        <f aca="false">I46/E46</f>
        <v>-0.0211739794982848</v>
      </c>
      <c r="K46" s="17" t="str">
        <f aca="false">TEXT(A46,"dddd")</f>
        <v>Wednesday</v>
      </c>
      <c r="L46" s="17" t="str">
        <f aca="false">IF(AND(A46&gt;=DATE(2014,9,24),A46&lt;=DATE(2014,10,6)),"Promo 1",IF(AND(A46&gt;=DATE(2014,9,10),A46&lt;=DATE(2014,9,23)),"Baseline 1",IF(AND(A46&gt;=DATE(2015,9,23),A46&lt;=DATE(2015,10,6)),"Promo 2",IF(AND(A46&gt;=DATE(2015,9,9),A46&lt;=DATE(2015,9,22)),"Baseline 2",IF(AND(A46&gt;=DATE(2016,6,23),A46&lt;=DATE(2016,7,6)),"Promo 3",IF(AND(A46&gt;=DATE(2016,6,9),A46&lt;=DATE(2016,6,22)),"Baseline 3","Other"))))))</f>
        <v>Other</v>
      </c>
    </row>
    <row r="47" customFormat="false" ht="15" hidden="false" customHeight="true" outlineLevel="0" collapsed="false">
      <c r="A47" s="12" t="n">
        <v>41683</v>
      </c>
      <c r="B47" s="13" t="n">
        <v>138291.633321586</v>
      </c>
      <c r="C47" s="13" t="n">
        <v>141027.434455681</v>
      </c>
      <c r="D47" s="14" t="n">
        <v>4259</v>
      </c>
      <c r="E47" s="15" t="n">
        <f aca="false">B47/D47</f>
        <v>32.4704468940094</v>
      </c>
      <c r="F47" s="15" t="n">
        <f aca="false">C47/D47</f>
        <v>33.1128045211742</v>
      </c>
      <c r="G47" s="13" t="n">
        <f aca="false">B47-C47</f>
        <v>-2735.801134095</v>
      </c>
      <c r="H47" s="16" t="n">
        <f aca="false">G47/B47</f>
        <v>-0.0197828391232687</v>
      </c>
      <c r="I47" s="15" t="n">
        <f aca="false">G47/D47</f>
        <v>-0.642357627164828</v>
      </c>
      <c r="J47" s="16" t="n">
        <f aca="false">I47/E47</f>
        <v>-0.0197828391232687</v>
      </c>
      <c r="K47" s="17" t="str">
        <f aca="false">TEXT(A47,"dddd")</f>
        <v>Thursday</v>
      </c>
      <c r="L47" s="17" t="str">
        <f aca="false">IF(AND(A47&gt;=DATE(2014,9,24),A47&lt;=DATE(2014,10,6)),"Promo 1",IF(AND(A47&gt;=DATE(2014,9,10),A47&lt;=DATE(2014,9,23)),"Baseline 1",IF(AND(A47&gt;=DATE(2015,9,23),A47&lt;=DATE(2015,10,6)),"Promo 2",IF(AND(A47&gt;=DATE(2015,9,9),A47&lt;=DATE(2015,9,22)),"Baseline 2",IF(AND(A47&gt;=DATE(2016,6,23),A47&lt;=DATE(2016,7,6)),"Promo 3",IF(AND(A47&gt;=DATE(2016,6,9),A47&lt;=DATE(2016,6,22)),"Baseline 3","Other"))))))</f>
        <v>Other</v>
      </c>
    </row>
    <row r="48" customFormat="false" ht="15" hidden="false" customHeight="true" outlineLevel="0" collapsed="false">
      <c r="A48" s="12" t="n">
        <v>41684</v>
      </c>
      <c r="B48" s="13" t="n">
        <v>336901.371700099</v>
      </c>
      <c r="C48" s="13" t="n">
        <v>343519.875546947</v>
      </c>
      <c r="D48" s="14" t="n">
        <v>10381</v>
      </c>
      <c r="E48" s="15" t="n">
        <f aca="false">B48/D48</f>
        <v>32.4536529910509</v>
      </c>
      <c r="F48" s="15" t="n">
        <f aca="false">C48/D48</f>
        <v>33.09121236364</v>
      </c>
      <c r="G48" s="13" t="n">
        <f aca="false">B48-C48</f>
        <v>-6618.50384684803</v>
      </c>
      <c r="H48" s="16" t="n">
        <f aca="false">G48/B48</f>
        <v>-0.0196452267720051</v>
      </c>
      <c r="I48" s="15" t="n">
        <f aca="false">G48/D48</f>
        <v>-0.637559372589157</v>
      </c>
      <c r="J48" s="16" t="n">
        <f aca="false">I48/E48</f>
        <v>-0.0196452267720051</v>
      </c>
      <c r="K48" s="17" t="str">
        <f aca="false">TEXT(A48,"dddd")</f>
        <v>Friday</v>
      </c>
      <c r="L48" s="17" t="str">
        <f aca="false">IF(AND(A48&gt;=DATE(2014,9,24),A48&lt;=DATE(2014,10,6)),"Promo 1",IF(AND(A48&gt;=DATE(2014,9,10),A48&lt;=DATE(2014,9,23)),"Baseline 1",IF(AND(A48&gt;=DATE(2015,9,23),A48&lt;=DATE(2015,10,6)),"Promo 2",IF(AND(A48&gt;=DATE(2015,9,9),A48&lt;=DATE(2015,9,22)),"Baseline 2",IF(AND(A48&gt;=DATE(2016,6,23),A48&lt;=DATE(2016,7,6)),"Promo 3",IF(AND(A48&gt;=DATE(2016,6,9),A48&lt;=DATE(2016,6,22)),"Baseline 3","Other"))))))</f>
        <v>Other</v>
      </c>
    </row>
    <row r="49" customFormat="false" ht="15" hidden="false" customHeight="true" outlineLevel="0" collapsed="false">
      <c r="A49" s="12" t="n">
        <v>41685</v>
      </c>
      <c r="B49" s="13" t="n">
        <v>367729.268214412</v>
      </c>
      <c r="C49" s="13" t="n">
        <v>373973.593334852</v>
      </c>
      <c r="D49" s="14" t="n">
        <v>11332</v>
      </c>
      <c r="E49" s="15" t="n">
        <f aca="false">B49/D49</f>
        <v>32.4505178445475</v>
      </c>
      <c r="F49" s="15" t="n">
        <f aca="false">C49/D49</f>
        <v>33.0015525357264</v>
      </c>
      <c r="G49" s="13" t="n">
        <f aca="false">B49-C49</f>
        <v>-6244.32512044004</v>
      </c>
      <c r="H49" s="16" t="n">
        <f aca="false">G49/B49</f>
        <v>-0.0169807672659854</v>
      </c>
      <c r="I49" s="15" t="n">
        <f aca="false">G49/D49</f>
        <v>-0.551034691178966</v>
      </c>
      <c r="J49" s="16" t="n">
        <f aca="false">I49/E49</f>
        <v>-0.0169807672659854</v>
      </c>
      <c r="K49" s="17" t="str">
        <f aca="false">TEXT(A49,"dddd")</f>
        <v>Saturday</v>
      </c>
      <c r="L49" s="17" t="str">
        <f aca="false">IF(AND(A49&gt;=DATE(2014,9,24),A49&lt;=DATE(2014,10,6)),"Promo 1",IF(AND(A49&gt;=DATE(2014,9,10),A49&lt;=DATE(2014,9,23)),"Baseline 1",IF(AND(A49&gt;=DATE(2015,9,23),A49&lt;=DATE(2015,10,6)),"Promo 2",IF(AND(A49&gt;=DATE(2015,9,9),A49&lt;=DATE(2015,9,22)),"Baseline 2",IF(AND(A49&gt;=DATE(2016,6,23),A49&lt;=DATE(2016,7,6)),"Promo 3",IF(AND(A49&gt;=DATE(2016,6,9),A49&lt;=DATE(2016,6,22)),"Baseline 3","Other"))))))</f>
        <v>Other</v>
      </c>
    </row>
    <row r="50" customFormat="false" ht="15" hidden="false" customHeight="true" outlineLevel="0" collapsed="false">
      <c r="A50" s="12" t="n">
        <v>41686</v>
      </c>
      <c r="B50" s="13" t="n">
        <v>133913.841387391</v>
      </c>
      <c r="C50" s="13" t="n">
        <v>136797.077370153</v>
      </c>
      <c r="D50" s="14" t="n">
        <v>4127</v>
      </c>
      <c r="E50" s="15" t="n">
        <f aca="false">B50/D50</f>
        <v>32.448229073756</v>
      </c>
      <c r="F50" s="15" t="n">
        <f aca="false">C50/D50</f>
        <v>33.1468566440884</v>
      </c>
      <c r="G50" s="13" t="n">
        <f aca="false">B50-C50</f>
        <v>-2883.23598276201</v>
      </c>
      <c r="H50" s="16" t="n">
        <f aca="false">G50/B50</f>
        <v>-0.0215305300250575</v>
      </c>
      <c r="I50" s="15" t="n">
        <f aca="false">G50/D50</f>
        <v>-0.698627570332447</v>
      </c>
      <c r="J50" s="16" t="n">
        <f aca="false">I50/E50</f>
        <v>-0.0215305300250575</v>
      </c>
      <c r="K50" s="17" t="str">
        <f aca="false">TEXT(A50,"dddd")</f>
        <v>Sunday</v>
      </c>
      <c r="L50" s="17" t="str">
        <f aca="false">IF(AND(A50&gt;=DATE(2014,9,24),A50&lt;=DATE(2014,10,6)),"Promo 1",IF(AND(A50&gt;=DATE(2014,9,10),A50&lt;=DATE(2014,9,23)),"Baseline 1",IF(AND(A50&gt;=DATE(2015,9,23),A50&lt;=DATE(2015,10,6)),"Promo 2",IF(AND(A50&gt;=DATE(2015,9,9),A50&lt;=DATE(2015,9,22)),"Baseline 2",IF(AND(A50&gt;=DATE(2016,6,23),A50&lt;=DATE(2016,7,6)),"Promo 3",IF(AND(A50&gt;=DATE(2016,6,9),A50&lt;=DATE(2016,6,22)),"Baseline 3","Other"))))))</f>
        <v>Other</v>
      </c>
    </row>
    <row r="51" customFormat="false" ht="15" hidden="false" customHeight="true" outlineLevel="0" collapsed="false">
      <c r="A51" s="12" t="n">
        <v>41687</v>
      </c>
      <c r="B51" s="13" t="n">
        <v>150800.347016662</v>
      </c>
      <c r="C51" s="13" t="n">
        <v>152887.10639948</v>
      </c>
      <c r="D51" s="14" t="n">
        <v>4649</v>
      </c>
      <c r="E51" s="15" t="n">
        <f aca="false">B51/D51</f>
        <v>32.4371578869998</v>
      </c>
      <c r="F51" s="15" t="n">
        <f aca="false">C51/D51</f>
        <v>32.8860198751301</v>
      </c>
      <c r="G51" s="13" t="n">
        <f aca="false">B51-C51</f>
        <v>-2086.75938281798</v>
      </c>
      <c r="H51" s="16" t="n">
        <f aca="false">G51/B51</f>
        <v>-0.013837895098394</v>
      </c>
      <c r="I51" s="15" t="n">
        <f aca="false">G51/D51</f>
        <v>-0.448861988130347</v>
      </c>
      <c r="J51" s="16" t="n">
        <f aca="false">I51/E51</f>
        <v>-0.013837895098394</v>
      </c>
      <c r="K51" s="17" t="str">
        <f aca="false">TEXT(A51,"dddd")</f>
        <v>Monday</v>
      </c>
      <c r="L51" s="17" t="str">
        <f aca="false">IF(AND(A51&gt;=DATE(2014,9,24),A51&lt;=DATE(2014,10,6)),"Promo 1",IF(AND(A51&gt;=DATE(2014,9,10),A51&lt;=DATE(2014,9,23)),"Baseline 1",IF(AND(A51&gt;=DATE(2015,9,23),A51&lt;=DATE(2015,10,6)),"Promo 2",IF(AND(A51&gt;=DATE(2015,9,9),A51&lt;=DATE(2015,9,22)),"Baseline 2",IF(AND(A51&gt;=DATE(2016,6,23),A51&lt;=DATE(2016,7,6)),"Promo 3",IF(AND(A51&gt;=DATE(2016,6,9),A51&lt;=DATE(2016,6,22)),"Baseline 3","Other"))))))</f>
        <v>Other</v>
      </c>
    </row>
    <row r="52" customFormat="false" ht="15" hidden="false" customHeight="true" outlineLevel="0" collapsed="false">
      <c r="A52" s="12" t="n">
        <v>41688</v>
      </c>
      <c r="B52" s="13" t="n">
        <v>55591.9303357739</v>
      </c>
      <c r="C52" s="13" t="n">
        <v>53463.2442119933</v>
      </c>
      <c r="D52" s="14" t="n">
        <v>1627</v>
      </c>
      <c r="E52" s="15" t="n">
        <f aca="false">B52/D52</f>
        <v>34.1683652954972</v>
      </c>
      <c r="F52" s="15" t="n">
        <f aca="false">C52/D52</f>
        <v>32.8600148813727</v>
      </c>
      <c r="G52" s="13" t="n">
        <f aca="false">B52-C52</f>
        <v>2128.6861237806</v>
      </c>
      <c r="H52" s="16" t="n">
        <f aca="false">G52/B52</f>
        <v>0.0382912791645008</v>
      </c>
      <c r="I52" s="15" t="n">
        <f aca="false">G52/D52</f>
        <v>1.30835041412452</v>
      </c>
      <c r="J52" s="16" t="n">
        <f aca="false">I52/E52</f>
        <v>0.0382912791645008</v>
      </c>
      <c r="K52" s="17" t="str">
        <f aca="false">TEXT(A52,"dddd")</f>
        <v>Tuesday</v>
      </c>
      <c r="L52" s="17" t="str">
        <f aca="false">IF(AND(A52&gt;=DATE(2014,9,24),A52&lt;=DATE(2014,10,6)),"Promo 1",IF(AND(A52&gt;=DATE(2014,9,10),A52&lt;=DATE(2014,9,23)),"Baseline 1",IF(AND(A52&gt;=DATE(2015,9,23),A52&lt;=DATE(2015,10,6)),"Promo 2",IF(AND(A52&gt;=DATE(2015,9,9),A52&lt;=DATE(2015,9,22)),"Baseline 2",IF(AND(A52&gt;=DATE(2016,6,23),A52&lt;=DATE(2016,7,6)),"Promo 3",IF(AND(A52&gt;=DATE(2016,6,9),A52&lt;=DATE(2016,6,22)),"Baseline 3","Other"))))))</f>
        <v>Other</v>
      </c>
    </row>
    <row r="53" customFormat="false" ht="15" hidden="false" customHeight="true" outlineLevel="0" collapsed="false">
      <c r="A53" s="12" t="n">
        <v>41689</v>
      </c>
      <c r="B53" s="13" t="n">
        <v>106427.191838824</v>
      </c>
      <c r="C53" s="13" t="n">
        <v>107736.444075959</v>
      </c>
      <c r="D53" s="14" t="n">
        <v>3281</v>
      </c>
      <c r="E53" s="15" t="n">
        <f aca="false">B53/D53</f>
        <v>32.4374251261274</v>
      </c>
      <c r="F53" s="15" t="n">
        <f aca="false">C53/D53</f>
        <v>32.8364657348244</v>
      </c>
      <c r="G53" s="13" t="n">
        <f aca="false">B53-C53</f>
        <v>-1309.25223713501</v>
      </c>
      <c r="H53" s="16" t="n">
        <f aca="false">G53/B53</f>
        <v>-0.0123018583363335</v>
      </c>
      <c r="I53" s="15" t="n">
        <f aca="false">G53/D53</f>
        <v>-0.399040608697045</v>
      </c>
      <c r="J53" s="16" t="n">
        <f aca="false">I53/E53</f>
        <v>-0.0123018583363335</v>
      </c>
      <c r="K53" s="17" t="str">
        <f aca="false">TEXT(A53,"dddd")</f>
        <v>Wednesday</v>
      </c>
      <c r="L53" s="17" t="str">
        <f aca="false">IF(AND(A53&gt;=DATE(2014,9,24),A53&lt;=DATE(2014,10,6)),"Promo 1",IF(AND(A53&gt;=DATE(2014,9,10),A53&lt;=DATE(2014,9,23)),"Baseline 1",IF(AND(A53&gt;=DATE(2015,9,23),A53&lt;=DATE(2015,10,6)),"Promo 2",IF(AND(A53&gt;=DATE(2015,9,9),A53&lt;=DATE(2015,9,22)),"Baseline 2",IF(AND(A53&gt;=DATE(2016,6,23),A53&lt;=DATE(2016,7,6)),"Promo 3",IF(AND(A53&gt;=DATE(2016,6,9),A53&lt;=DATE(2016,6,22)),"Baseline 3","Other"))))))</f>
        <v>Other</v>
      </c>
    </row>
    <row r="54" customFormat="false" ht="15" hidden="false" customHeight="true" outlineLevel="0" collapsed="false">
      <c r="A54" s="12" t="n">
        <v>41690</v>
      </c>
      <c r="B54" s="13" t="n">
        <v>78940.5544247979</v>
      </c>
      <c r="C54" s="13" t="n">
        <v>75934.3948220396</v>
      </c>
      <c r="D54" s="14" t="n">
        <v>2310</v>
      </c>
      <c r="E54" s="15" t="n">
        <f aca="false">B54/D54</f>
        <v>34.1734001838952</v>
      </c>
      <c r="F54" s="15" t="n">
        <f aca="false">C54/D54</f>
        <v>32.8720323904933</v>
      </c>
      <c r="G54" s="13" t="n">
        <f aca="false">B54-C54</f>
        <v>3006.1596027583</v>
      </c>
      <c r="H54" s="16" t="n">
        <f aca="false">G54/B54</f>
        <v>0.0380813084562523</v>
      </c>
      <c r="I54" s="15" t="n">
        <f aca="false">G54/D54</f>
        <v>1.30136779340186</v>
      </c>
      <c r="J54" s="16" t="n">
        <f aca="false">I54/E54</f>
        <v>0.0380813084562523</v>
      </c>
      <c r="K54" s="17" t="str">
        <f aca="false">TEXT(A54,"dddd")</f>
        <v>Thursday</v>
      </c>
      <c r="L54" s="17" t="str">
        <f aca="false">IF(AND(A54&gt;=DATE(2014,9,24),A54&lt;=DATE(2014,10,6)),"Promo 1",IF(AND(A54&gt;=DATE(2014,9,10),A54&lt;=DATE(2014,9,23)),"Baseline 1",IF(AND(A54&gt;=DATE(2015,9,23),A54&lt;=DATE(2015,10,6)),"Promo 2",IF(AND(A54&gt;=DATE(2015,9,9),A54&lt;=DATE(2015,9,22)),"Baseline 2",IF(AND(A54&gt;=DATE(2016,6,23),A54&lt;=DATE(2016,7,6)),"Promo 3",IF(AND(A54&gt;=DATE(2016,6,9),A54&lt;=DATE(2016,6,22)),"Baseline 3","Other"))))))</f>
        <v>Other</v>
      </c>
    </row>
    <row r="55" customFormat="false" ht="15" hidden="false" customHeight="true" outlineLevel="0" collapsed="false">
      <c r="A55" s="12" t="n">
        <v>41691</v>
      </c>
      <c r="B55" s="13" t="n">
        <v>317916.317858534</v>
      </c>
      <c r="C55" s="13" t="n">
        <v>322089.788955442</v>
      </c>
      <c r="D55" s="14" t="n">
        <v>9802</v>
      </c>
      <c r="E55" s="15" t="n">
        <f aca="false">B55/D55</f>
        <v>32.4338214505748</v>
      </c>
      <c r="F55" s="15" t="n">
        <f aca="false">C55/D55</f>
        <v>32.8595989548502</v>
      </c>
      <c r="G55" s="13" t="n">
        <f aca="false">B55-C55</f>
        <v>-4173.47109690803</v>
      </c>
      <c r="H55" s="16" t="n">
        <f aca="false">G55/B55</f>
        <v>-0.0131275774864917</v>
      </c>
      <c r="I55" s="15" t="n">
        <f aca="false">G55/D55</f>
        <v>-0.425777504275457</v>
      </c>
      <c r="J55" s="16" t="n">
        <f aca="false">I55/E55</f>
        <v>-0.0131275774864917</v>
      </c>
      <c r="K55" s="17" t="str">
        <f aca="false">TEXT(A55,"dddd")</f>
        <v>Friday</v>
      </c>
      <c r="L55" s="17" t="str">
        <f aca="false">IF(AND(A55&gt;=DATE(2014,9,24),A55&lt;=DATE(2014,10,6)),"Promo 1",IF(AND(A55&gt;=DATE(2014,9,10),A55&lt;=DATE(2014,9,23)),"Baseline 1",IF(AND(A55&gt;=DATE(2015,9,23),A55&lt;=DATE(2015,10,6)),"Promo 2",IF(AND(A55&gt;=DATE(2015,9,9),A55&lt;=DATE(2015,9,22)),"Baseline 2",IF(AND(A55&gt;=DATE(2016,6,23),A55&lt;=DATE(2016,7,6)),"Promo 3",IF(AND(A55&gt;=DATE(2016,6,9),A55&lt;=DATE(2016,6,22)),"Baseline 3","Other"))))))</f>
        <v>Other</v>
      </c>
    </row>
    <row r="56" customFormat="false" ht="15" hidden="false" customHeight="true" outlineLevel="0" collapsed="false">
      <c r="A56" s="12" t="n">
        <v>41692</v>
      </c>
      <c r="B56" s="13" t="n">
        <v>309217.875562526</v>
      </c>
      <c r="C56" s="13" t="n">
        <v>320116.924323278</v>
      </c>
      <c r="D56" s="14" t="n">
        <v>9772</v>
      </c>
      <c r="E56" s="15" t="n">
        <f aca="false">B56/D56</f>
        <v>31.6432537415602</v>
      </c>
      <c r="F56" s="15" t="n">
        <f aca="false">C56/D56</f>
        <v>32.7585882442978</v>
      </c>
      <c r="G56" s="13" t="n">
        <f aca="false">B56-C56</f>
        <v>-10899.048760752</v>
      </c>
      <c r="H56" s="16" t="n">
        <f aca="false">G56/B56</f>
        <v>-0.0352471497351975</v>
      </c>
      <c r="I56" s="15" t="n">
        <f aca="false">G56/D56</f>
        <v>-1.11533450273762</v>
      </c>
      <c r="J56" s="16" t="n">
        <f aca="false">I56/E56</f>
        <v>-0.0352471497351975</v>
      </c>
      <c r="K56" s="17" t="str">
        <f aca="false">TEXT(A56,"dddd")</f>
        <v>Saturday</v>
      </c>
      <c r="L56" s="17" t="str">
        <f aca="false">IF(AND(A56&gt;=DATE(2014,9,24),A56&lt;=DATE(2014,10,6)),"Promo 1",IF(AND(A56&gt;=DATE(2014,9,10),A56&lt;=DATE(2014,9,23)),"Baseline 1",IF(AND(A56&gt;=DATE(2015,9,23),A56&lt;=DATE(2015,10,6)),"Promo 2",IF(AND(A56&gt;=DATE(2015,9,9),A56&lt;=DATE(2015,9,22)),"Baseline 2",IF(AND(A56&gt;=DATE(2016,6,23),A56&lt;=DATE(2016,7,6)),"Promo 3",IF(AND(A56&gt;=DATE(2016,6,9),A56&lt;=DATE(2016,6,22)),"Baseline 3","Other"))))))</f>
        <v>Other</v>
      </c>
    </row>
    <row r="57" customFormat="false" ht="15" hidden="false" customHeight="true" outlineLevel="0" collapsed="false">
      <c r="A57" s="12" t="n">
        <v>41693</v>
      </c>
      <c r="B57" s="13" t="n">
        <v>138491.549950462</v>
      </c>
      <c r="C57" s="13" t="n">
        <v>140752.601591667</v>
      </c>
      <c r="D57" s="14" t="n">
        <v>4270</v>
      </c>
      <c r="E57" s="15" t="n">
        <f aca="false">B57/D57</f>
        <v>32.4336182553775</v>
      </c>
      <c r="F57" s="15" t="n">
        <f aca="false">C57/D57</f>
        <v>32.9631385460578</v>
      </c>
      <c r="G57" s="13" t="n">
        <f aca="false">B57-C57</f>
        <v>-2261.05164120498</v>
      </c>
      <c r="H57" s="16" t="n">
        <f aca="false">G57/B57</f>
        <v>-0.0163262786936369</v>
      </c>
      <c r="I57" s="15" t="n">
        <f aca="false">G57/D57</f>
        <v>-0.529520290680322</v>
      </c>
      <c r="J57" s="16" t="n">
        <f aca="false">I57/E57</f>
        <v>-0.0163262786936369</v>
      </c>
      <c r="K57" s="17" t="str">
        <f aca="false">TEXT(A57,"dddd")</f>
        <v>Sunday</v>
      </c>
      <c r="L57" s="17" t="str">
        <f aca="false">IF(AND(A57&gt;=DATE(2014,9,24),A57&lt;=DATE(2014,10,6)),"Promo 1",IF(AND(A57&gt;=DATE(2014,9,10),A57&lt;=DATE(2014,9,23)),"Baseline 1",IF(AND(A57&gt;=DATE(2015,9,23),A57&lt;=DATE(2015,10,6)),"Promo 2",IF(AND(A57&gt;=DATE(2015,9,9),A57&lt;=DATE(2015,9,22)),"Baseline 2",IF(AND(A57&gt;=DATE(2016,6,23),A57&lt;=DATE(2016,7,6)),"Promo 3",IF(AND(A57&gt;=DATE(2016,6,9),A57&lt;=DATE(2016,6,22)),"Baseline 3","Other"))))))</f>
        <v>Other</v>
      </c>
    </row>
    <row r="58" customFormat="false" ht="15" hidden="false" customHeight="true" outlineLevel="0" collapsed="false">
      <c r="A58" s="12" t="n">
        <v>41694</v>
      </c>
      <c r="B58" s="13" t="n">
        <v>133146.222205236</v>
      </c>
      <c r="C58" s="13" t="n">
        <v>134505.404223795</v>
      </c>
      <c r="D58" s="14" t="n">
        <v>4106</v>
      </c>
      <c r="E58" s="15" t="n">
        <f aca="false">B58/D58</f>
        <v>32.4272338541734</v>
      </c>
      <c r="F58" s="15" t="n">
        <f aca="false">C58/D58</f>
        <v>32.7582572391123</v>
      </c>
      <c r="G58" s="13" t="n">
        <f aca="false">B58-C58</f>
        <v>-1359.18201855899</v>
      </c>
      <c r="H58" s="16" t="n">
        <f aca="false">G58/B58</f>
        <v>-0.0102081906346836</v>
      </c>
      <c r="I58" s="15" t="n">
        <f aca="false">G58/D58</f>
        <v>-0.331023384938867</v>
      </c>
      <c r="J58" s="16" t="n">
        <f aca="false">I58/E58</f>
        <v>-0.0102081906346836</v>
      </c>
      <c r="K58" s="17" t="str">
        <f aca="false">TEXT(A58,"dddd")</f>
        <v>Monday</v>
      </c>
      <c r="L58" s="17" t="str">
        <f aca="false">IF(AND(A58&gt;=DATE(2014,9,24),A58&lt;=DATE(2014,10,6)),"Promo 1",IF(AND(A58&gt;=DATE(2014,9,10),A58&lt;=DATE(2014,9,23)),"Baseline 1",IF(AND(A58&gt;=DATE(2015,9,23),A58&lt;=DATE(2015,10,6)),"Promo 2",IF(AND(A58&gt;=DATE(2015,9,9),A58&lt;=DATE(2015,9,22)),"Baseline 2",IF(AND(A58&gt;=DATE(2016,6,23),A58&lt;=DATE(2016,7,6)),"Promo 3",IF(AND(A58&gt;=DATE(2016,6,9),A58&lt;=DATE(2016,6,22)),"Baseline 3","Other"))))))</f>
        <v>Other</v>
      </c>
    </row>
    <row r="59" customFormat="false" ht="15" hidden="false" customHeight="true" outlineLevel="0" collapsed="false">
      <c r="A59" s="12" t="n">
        <v>41695</v>
      </c>
      <c r="B59" s="13" t="n">
        <v>224994.656182892</v>
      </c>
      <c r="C59" s="13" t="n">
        <v>227546.446559601</v>
      </c>
      <c r="D59" s="14" t="n">
        <v>6937</v>
      </c>
      <c r="E59" s="15" t="n">
        <f aca="false">B59/D59</f>
        <v>32.4339997380557</v>
      </c>
      <c r="F59" s="15" t="n">
        <f aca="false">C59/D59</f>
        <v>32.8018518898084</v>
      </c>
      <c r="G59" s="13" t="n">
        <f aca="false">B59-C59</f>
        <v>-2551.79037670899</v>
      </c>
      <c r="H59" s="16" t="n">
        <f aca="false">G59/B59</f>
        <v>-0.0113415599285821</v>
      </c>
      <c r="I59" s="15" t="n">
        <f aca="false">G59/D59</f>
        <v>-0.367852151752773</v>
      </c>
      <c r="J59" s="16" t="n">
        <f aca="false">I59/E59</f>
        <v>-0.0113415599285821</v>
      </c>
      <c r="K59" s="17" t="str">
        <f aca="false">TEXT(A59,"dddd")</f>
        <v>Tuesday</v>
      </c>
      <c r="L59" s="17" t="str">
        <f aca="false">IF(AND(A59&gt;=DATE(2014,9,24),A59&lt;=DATE(2014,10,6)),"Promo 1",IF(AND(A59&gt;=DATE(2014,9,10),A59&lt;=DATE(2014,9,23)),"Baseline 1",IF(AND(A59&gt;=DATE(2015,9,23),A59&lt;=DATE(2015,10,6)),"Promo 2",IF(AND(A59&gt;=DATE(2015,9,9),A59&lt;=DATE(2015,9,22)),"Baseline 2",IF(AND(A59&gt;=DATE(2016,6,23),A59&lt;=DATE(2016,7,6)),"Promo 3",IF(AND(A59&gt;=DATE(2016,6,9),A59&lt;=DATE(2016,6,22)),"Baseline 3","Other"))))))</f>
        <v>Other</v>
      </c>
    </row>
    <row r="60" customFormat="false" ht="15" hidden="false" customHeight="true" outlineLevel="0" collapsed="false">
      <c r="A60" s="12" t="n">
        <v>41696</v>
      </c>
      <c r="B60" s="13" t="n">
        <v>225051.591468032</v>
      </c>
      <c r="C60" s="13" t="n">
        <v>228214.142119431</v>
      </c>
      <c r="D60" s="14" t="n">
        <v>6934</v>
      </c>
      <c r="E60" s="15" t="n">
        <f aca="false">B60/D60</f>
        <v>32.4562433614122</v>
      </c>
      <c r="F60" s="15" t="n">
        <f aca="false">C60/D60</f>
        <v>32.9123366194738</v>
      </c>
      <c r="G60" s="13" t="n">
        <f aca="false">B60-C60</f>
        <v>-3162.55065139898</v>
      </c>
      <c r="H60" s="16" t="n">
        <f aca="false">G60/B60</f>
        <v>-0.014052558485676</v>
      </c>
      <c r="I60" s="15" t="n">
        <f aca="false">G60/D60</f>
        <v>-0.456093258061578</v>
      </c>
      <c r="J60" s="16" t="n">
        <f aca="false">I60/E60</f>
        <v>-0.014052558485676</v>
      </c>
      <c r="K60" s="17" t="str">
        <f aca="false">TEXT(A60,"dddd")</f>
        <v>Wednesday</v>
      </c>
      <c r="L60" s="17" t="str">
        <f aca="false">IF(AND(A60&gt;=DATE(2014,9,24),A60&lt;=DATE(2014,10,6)),"Promo 1",IF(AND(A60&gt;=DATE(2014,9,10),A60&lt;=DATE(2014,9,23)),"Baseline 1",IF(AND(A60&gt;=DATE(2015,9,23),A60&lt;=DATE(2015,10,6)),"Promo 2",IF(AND(A60&gt;=DATE(2015,9,9),A60&lt;=DATE(2015,9,22)),"Baseline 2",IF(AND(A60&gt;=DATE(2016,6,23),A60&lt;=DATE(2016,7,6)),"Promo 3",IF(AND(A60&gt;=DATE(2016,6,9),A60&lt;=DATE(2016,6,22)),"Baseline 3","Other"))))))</f>
        <v>Other</v>
      </c>
    </row>
    <row r="61" customFormat="false" ht="15" hidden="false" customHeight="true" outlineLevel="0" collapsed="false">
      <c r="A61" s="12" t="n">
        <v>41697</v>
      </c>
      <c r="B61" s="13" t="n">
        <v>344299.68244113</v>
      </c>
      <c r="C61" s="13" t="n">
        <v>365935.652955926</v>
      </c>
      <c r="D61" s="14" t="n">
        <v>11082</v>
      </c>
      <c r="E61" s="15" t="n">
        <f aca="false">B61/D61</f>
        <v>31.0683705505441</v>
      </c>
      <c r="F61" s="15" t="n">
        <f aca="false">C61/D61</f>
        <v>33.0207230604517</v>
      </c>
      <c r="G61" s="13" t="n">
        <f aca="false">B61-C61</f>
        <v>-21635.970514796</v>
      </c>
      <c r="H61" s="16" t="n">
        <f aca="false">G61/B61</f>
        <v>-0.0628405183571305</v>
      </c>
      <c r="I61" s="15" t="n">
        <f aca="false">G61/D61</f>
        <v>-1.9523525099076</v>
      </c>
      <c r="J61" s="16" t="n">
        <f aca="false">I61/E61</f>
        <v>-0.0628405183571305</v>
      </c>
      <c r="K61" s="17" t="str">
        <f aca="false">TEXT(A61,"dddd")</f>
        <v>Thursday</v>
      </c>
      <c r="L61" s="17" t="str">
        <f aca="false">IF(AND(A61&gt;=DATE(2014,9,24),A61&lt;=DATE(2014,10,6)),"Promo 1",IF(AND(A61&gt;=DATE(2014,9,10),A61&lt;=DATE(2014,9,23)),"Baseline 1",IF(AND(A61&gt;=DATE(2015,9,23),A61&lt;=DATE(2015,10,6)),"Promo 2",IF(AND(A61&gt;=DATE(2015,9,9),A61&lt;=DATE(2015,9,22)),"Baseline 2",IF(AND(A61&gt;=DATE(2016,6,23),A61&lt;=DATE(2016,7,6)),"Promo 3",IF(AND(A61&gt;=DATE(2016,6,9),A61&lt;=DATE(2016,6,22)),"Baseline 3","Other"))))))</f>
        <v>Other</v>
      </c>
    </row>
    <row r="62" customFormat="false" ht="15" hidden="false" customHeight="true" outlineLevel="0" collapsed="false">
      <c r="A62" s="12" t="n">
        <v>41698</v>
      </c>
      <c r="B62" s="13" t="n">
        <v>661876.49999965</v>
      </c>
      <c r="C62" s="13" t="n">
        <v>686656.790992171</v>
      </c>
      <c r="D62" s="14" t="n">
        <v>20805</v>
      </c>
      <c r="E62" s="15" t="n">
        <f aca="false">B62/D62</f>
        <v>31.8133381398534</v>
      </c>
      <c r="F62" s="15" t="n">
        <f aca="false">C62/D62</f>
        <v>33.0044119679006</v>
      </c>
      <c r="G62" s="13" t="n">
        <f aca="false">B62-C62</f>
        <v>-24780.290992521</v>
      </c>
      <c r="H62" s="16" t="n">
        <f aca="false">G62/B62</f>
        <v>-0.037439448284588</v>
      </c>
      <c r="I62" s="15" t="n">
        <f aca="false">G62/D62</f>
        <v>-1.19107382804715</v>
      </c>
      <c r="J62" s="16" t="n">
        <f aca="false">I62/E62</f>
        <v>-0.037439448284588</v>
      </c>
      <c r="K62" s="17" t="str">
        <f aca="false">TEXT(A62,"dddd")</f>
        <v>Friday</v>
      </c>
      <c r="L62" s="17" t="str">
        <f aca="false">IF(AND(A62&gt;=DATE(2014,9,24),A62&lt;=DATE(2014,10,6)),"Promo 1",IF(AND(A62&gt;=DATE(2014,9,10),A62&lt;=DATE(2014,9,23)),"Baseline 1",IF(AND(A62&gt;=DATE(2015,9,23),A62&lt;=DATE(2015,10,6)),"Promo 2",IF(AND(A62&gt;=DATE(2015,9,9),A62&lt;=DATE(2015,9,22)),"Baseline 2",IF(AND(A62&gt;=DATE(2016,6,23),A62&lt;=DATE(2016,7,6)),"Promo 3",IF(AND(A62&gt;=DATE(2016,6,9),A62&lt;=DATE(2016,6,22)),"Baseline 3","Other"))))))</f>
        <v>Other</v>
      </c>
    </row>
    <row r="63" customFormat="false" ht="15" hidden="false" customHeight="true" outlineLevel="0" collapsed="false">
      <c r="A63" s="12" t="n">
        <v>41699</v>
      </c>
      <c r="B63" s="13" t="n">
        <v>846678.388160804</v>
      </c>
      <c r="C63" s="13" t="n">
        <v>872081.585003521</v>
      </c>
      <c r="D63" s="14" t="n">
        <v>26410</v>
      </c>
      <c r="E63" s="15" t="n">
        <f aca="false">B63/D63</f>
        <v>32.0590075032489</v>
      </c>
      <c r="F63" s="15" t="n">
        <f aca="false">C63/D63</f>
        <v>33.0208854601863</v>
      </c>
      <c r="G63" s="13" t="n">
        <f aca="false">B63-C63</f>
        <v>-25403.1968427169</v>
      </c>
      <c r="H63" s="16" t="n">
        <f aca="false">G63/B63</f>
        <v>-0.0300033604234294</v>
      </c>
      <c r="I63" s="15" t="n">
        <f aca="false">G63/D63</f>
        <v>-0.961877956937406</v>
      </c>
      <c r="J63" s="16" t="n">
        <f aca="false">I63/E63</f>
        <v>-0.0300033604234294</v>
      </c>
      <c r="K63" s="17" t="str">
        <f aca="false">TEXT(A63,"dddd")</f>
        <v>Saturday</v>
      </c>
      <c r="L63" s="17" t="str">
        <f aca="false">IF(AND(A63&gt;=DATE(2014,9,24),A63&lt;=DATE(2014,10,6)),"Promo 1",IF(AND(A63&gt;=DATE(2014,9,10),A63&lt;=DATE(2014,9,23)),"Baseline 1",IF(AND(A63&gt;=DATE(2015,9,23),A63&lt;=DATE(2015,10,6)),"Promo 2",IF(AND(A63&gt;=DATE(2015,9,9),A63&lt;=DATE(2015,9,22)),"Baseline 2",IF(AND(A63&gt;=DATE(2016,6,23),A63&lt;=DATE(2016,7,6)),"Promo 3",IF(AND(A63&gt;=DATE(2016,6,9),A63&lt;=DATE(2016,6,22)),"Baseline 3","Other"))))))</f>
        <v>Other</v>
      </c>
    </row>
    <row r="64" customFormat="false" ht="15" hidden="false" customHeight="true" outlineLevel="0" collapsed="false">
      <c r="A64" s="12" t="n">
        <v>41700</v>
      </c>
      <c r="B64" s="13" t="n">
        <v>478902.304871823</v>
      </c>
      <c r="C64" s="13" t="n">
        <v>495554.449923889</v>
      </c>
      <c r="D64" s="14" t="n">
        <v>15004</v>
      </c>
      <c r="E64" s="15" t="n">
        <f aca="false">B64/D64</f>
        <v>31.9183087757813</v>
      </c>
      <c r="F64" s="15" t="n">
        <f aca="false">C64/D64</f>
        <v>33.0281558200406</v>
      </c>
      <c r="G64" s="13" t="n">
        <f aca="false">B64-C64</f>
        <v>-16652.145052066</v>
      </c>
      <c r="H64" s="16" t="n">
        <f aca="false">G64/B64</f>
        <v>-0.0347714865488545</v>
      </c>
      <c r="I64" s="15" t="n">
        <f aca="false">G64/D64</f>
        <v>-1.10984704425927</v>
      </c>
      <c r="J64" s="16" t="n">
        <f aca="false">I64/E64</f>
        <v>-0.0347714865488545</v>
      </c>
      <c r="K64" s="17" t="str">
        <f aca="false">TEXT(A64,"dddd")</f>
        <v>Sunday</v>
      </c>
      <c r="L64" s="17" t="str">
        <f aca="false">IF(AND(A64&gt;=DATE(2014,9,24),A64&lt;=DATE(2014,10,6)),"Promo 1",IF(AND(A64&gt;=DATE(2014,9,10),A64&lt;=DATE(2014,9,23)),"Baseline 1",IF(AND(A64&gt;=DATE(2015,9,23),A64&lt;=DATE(2015,10,6)),"Promo 2",IF(AND(A64&gt;=DATE(2015,9,9),A64&lt;=DATE(2015,9,22)),"Baseline 2",IF(AND(A64&gt;=DATE(2016,6,23),A64&lt;=DATE(2016,7,6)),"Promo 3",IF(AND(A64&gt;=DATE(2016,6,9),A64&lt;=DATE(2016,6,22)),"Baseline 3","Other"))))))</f>
        <v>Other</v>
      </c>
    </row>
    <row r="65" customFormat="false" ht="15" hidden="false" customHeight="true" outlineLevel="0" collapsed="false">
      <c r="A65" s="12" t="n">
        <v>41701</v>
      </c>
      <c r="B65" s="13" t="n">
        <v>538827.202132543</v>
      </c>
      <c r="C65" s="13" t="n">
        <v>557567.136984813</v>
      </c>
      <c r="D65" s="14" t="n">
        <v>16884</v>
      </c>
      <c r="E65" s="15" t="n">
        <f aca="false">B65/D65</f>
        <v>31.9134803442634</v>
      </c>
      <c r="F65" s="15" t="n">
        <f aca="false">C65/D65</f>
        <v>33.0234030434028</v>
      </c>
      <c r="G65" s="13" t="n">
        <f aca="false">B65-C65</f>
        <v>-18739.9348522701</v>
      </c>
      <c r="H65" s="16" t="n">
        <f aca="false">G65/B65</f>
        <v>-0.0347791180142764</v>
      </c>
      <c r="I65" s="15" t="n">
        <f aca="false">G65/D65</f>
        <v>-1.10992269913943</v>
      </c>
      <c r="J65" s="16" t="n">
        <f aca="false">I65/E65</f>
        <v>-0.0347791180142764</v>
      </c>
      <c r="K65" s="17" t="str">
        <f aca="false">TEXT(A65,"dddd")</f>
        <v>Monday</v>
      </c>
      <c r="L65" s="17" t="str">
        <f aca="false">IF(AND(A65&gt;=DATE(2014,9,24),A65&lt;=DATE(2014,10,6)),"Promo 1",IF(AND(A65&gt;=DATE(2014,9,10),A65&lt;=DATE(2014,9,23)),"Baseline 1",IF(AND(A65&gt;=DATE(2015,9,23),A65&lt;=DATE(2015,10,6)),"Promo 2",IF(AND(A65&gt;=DATE(2015,9,9),A65&lt;=DATE(2015,9,22)),"Baseline 2",IF(AND(A65&gt;=DATE(2016,6,23),A65&lt;=DATE(2016,7,6)),"Promo 3",IF(AND(A65&gt;=DATE(2016,6,9),A65&lt;=DATE(2016,6,22)),"Baseline 3","Other"))))))</f>
        <v>Other</v>
      </c>
    </row>
    <row r="66" customFormat="false" ht="15" hidden="false" customHeight="true" outlineLevel="0" collapsed="false">
      <c r="A66" s="12" t="n">
        <v>41702</v>
      </c>
      <c r="B66" s="13" t="n">
        <v>310346.121287545</v>
      </c>
      <c r="C66" s="13" t="n">
        <v>323325.029927025</v>
      </c>
      <c r="D66" s="14" t="n">
        <v>9789</v>
      </c>
      <c r="E66" s="15" t="n">
        <f aca="false">B66/D66</f>
        <v>31.7035571853657</v>
      </c>
      <c r="F66" s="15" t="n">
        <f aca="false">C66/D66</f>
        <v>33.0294238356344</v>
      </c>
      <c r="G66" s="13" t="n">
        <f aca="false">B66-C66</f>
        <v>-12978.90863948</v>
      </c>
      <c r="H66" s="16" t="n">
        <f aca="false">G66/B66</f>
        <v>-0.0418207535046158</v>
      </c>
      <c r="I66" s="15" t="n">
        <f aca="false">G66/D66</f>
        <v>-1.32586665026867</v>
      </c>
      <c r="J66" s="16" t="n">
        <f aca="false">I66/E66</f>
        <v>-0.0418207535046158</v>
      </c>
      <c r="K66" s="17" t="str">
        <f aca="false">TEXT(A66,"dddd")</f>
        <v>Tuesday</v>
      </c>
      <c r="L66" s="17" t="str">
        <f aca="false">IF(AND(A66&gt;=DATE(2014,9,24),A66&lt;=DATE(2014,10,6)),"Promo 1",IF(AND(A66&gt;=DATE(2014,9,10),A66&lt;=DATE(2014,9,23)),"Baseline 1",IF(AND(A66&gt;=DATE(2015,9,23),A66&lt;=DATE(2015,10,6)),"Promo 2",IF(AND(A66&gt;=DATE(2015,9,9),A66&lt;=DATE(2015,9,22)),"Baseline 2",IF(AND(A66&gt;=DATE(2016,6,23),A66&lt;=DATE(2016,7,6)),"Promo 3",IF(AND(A66&gt;=DATE(2016,6,9),A66&lt;=DATE(2016,6,22)),"Baseline 3","Other"))))))</f>
        <v>Other</v>
      </c>
    </row>
    <row r="67" customFormat="false" ht="15" hidden="false" customHeight="true" outlineLevel="0" collapsed="false">
      <c r="A67" s="12" t="n">
        <v>41703</v>
      </c>
      <c r="B67" s="13" t="n">
        <v>256390.522210472</v>
      </c>
      <c r="C67" s="13" t="n">
        <v>267308.507082711</v>
      </c>
      <c r="D67" s="14" t="n">
        <v>8079</v>
      </c>
      <c r="E67" s="15" t="n">
        <f aca="false">B67/D67</f>
        <v>31.7354279255443</v>
      </c>
      <c r="F67" s="15" t="n">
        <f aca="false">C67/D67</f>
        <v>33.0868309299061</v>
      </c>
      <c r="G67" s="13" t="n">
        <f aca="false">B67-C67</f>
        <v>-10917.984872239</v>
      </c>
      <c r="H67" s="16" t="n">
        <f aca="false">G67/B67</f>
        <v>-0.0425834183655056</v>
      </c>
      <c r="I67" s="15" t="n">
        <f aca="false">G67/D67</f>
        <v>-1.3514030043618</v>
      </c>
      <c r="J67" s="16" t="n">
        <f aca="false">I67/E67</f>
        <v>-0.0425834183655056</v>
      </c>
      <c r="K67" s="17" t="str">
        <f aca="false">TEXT(A67,"dddd")</f>
        <v>Wednesday</v>
      </c>
      <c r="L67" s="17" t="str">
        <f aca="false">IF(AND(A67&gt;=DATE(2014,9,24),A67&lt;=DATE(2014,10,6)),"Promo 1",IF(AND(A67&gt;=DATE(2014,9,10),A67&lt;=DATE(2014,9,23)),"Baseline 1",IF(AND(A67&gt;=DATE(2015,9,23),A67&lt;=DATE(2015,10,6)),"Promo 2",IF(AND(A67&gt;=DATE(2015,9,9),A67&lt;=DATE(2015,9,22)),"Baseline 2",IF(AND(A67&gt;=DATE(2016,6,23),A67&lt;=DATE(2016,7,6)),"Promo 3",IF(AND(A67&gt;=DATE(2016,6,9),A67&lt;=DATE(2016,6,22)),"Baseline 3","Other"))))))</f>
        <v>Other</v>
      </c>
    </row>
    <row r="68" customFormat="false" ht="15" hidden="false" customHeight="true" outlineLevel="0" collapsed="false">
      <c r="A68" s="12" t="n">
        <v>41704</v>
      </c>
      <c r="B68" s="13" t="n">
        <v>167803.659776094</v>
      </c>
      <c r="C68" s="13" t="n">
        <v>168135.690006122</v>
      </c>
      <c r="D68" s="14" t="n">
        <v>5072</v>
      </c>
      <c r="E68" s="15" t="n">
        <f aca="false">B68/D68</f>
        <v>33.0843177791983</v>
      </c>
      <c r="F68" s="15" t="n">
        <f aca="false">C68/D68</f>
        <v>33.1497811526266</v>
      </c>
      <c r="G68" s="13" t="n">
        <f aca="false">B68-C68</f>
        <v>-332.030230028002</v>
      </c>
      <c r="H68" s="16" t="n">
        <f aca="false">G68/B68</f>
        <v>-0.00197868288731629</v>
      </c>
      <c r="I68" s="15" t="n">
        <f aca="false">G68/D68</f>
        <v>-0.0654633734282338</v>
      </c>
      <c r="J68" s="16" t="n">
        <f aca="false">I68/E68</f>
        <v>-0.00197868288731629</v>
      </c>
      <c r="K68" s="17" t="str">
        <f aca="false">TEXT(A68,"dddd")</f>
        <v>Thursday</v>
      </c>
      <c r="L68" s="17" t="str">
        <f aca="false">IF(AND(A68&gt;=DATE(2014,9,24),A68&lt;=DATE(2014,10,6)),"Promo 1",IF(AND(A68&gt;=DATE(2014,9,10),A68&lt;=DATE(2014,9,23)),"Baseline 1",IF(AND(A68&gt;=DATE(2015,9,23),A68&lt;=DATE(2015,10,6)),"Promo 2",IF(AND(A68&gt;=DATE(2015,9,9),A68&lt;=DATE(2015,9,22)),"Baseline 2",IF(AND(A68&gt;=DATE(2016,6,23),A68&lt;=DATE(2016,7,6)),"Promo 3",IF(AND(A68&gt;=DATE(2016,6,9),A68&lt;=DATE(2016,6,22)),"Baseline 3","Other"))))))</f>
        <v>Other</v>
      </c>
    </row>
    <row r="69" customFormat="false" ht="15" hidden="false" customHeight="true" outlineLevel="0" collapsed="false">
      <c r="A69" s="12" t="n">
        <v>41705</v>
      </c>
      <c r="B69" s="13" t="n">
        <v>465318.021511566</v>
      </c>
      <c r="C69" s="13" t="n">
        <v>483774.596715292</v>
      </c>
      <c r="D69" s="14" t="n">
        <v>14551</v>
      </c>
      <c r="E69" s="15" t="n">
        <f aca="false">B69/D69</f>
        <v>31.9784222054543</v>
      </c>
      <c r="F69" s="15" t="n">
        <f aca="false">C69/D69</f>
        <v>33.2468281709362</v>
      </c>
      <c r="G69" s="13" t="n">
        <f aca="false">B69-C69</f>
        <v>-18456.575203726</v>
      </c>
      <c r="H69" s="16" t="n">
        <f aca="false">G69/B69</f>
        <v>-0.039664432389209</v>
      </c>
      <c r="I69" s="15" t="n">
        <f aca="false">G69/D69</f>
        <v>-1.26840596548182</v>
      </c>
      <c r="J69" s="16" t="n">
        <f aca="false">I69/E69</f>
        <v>-0.039664432389209</v>
      </c>
      <c r="K69" s="17" t="str">
        <f aca="false">TEXT(A69,"dddd")</f>
        <v>Friday</v>
      </c>
      <c r="L69" s="17" t="str">
        <f aca="false">IF(AND(A69&gt;=DATE(2014,9,24),A69&lt;=DATE(2014,10,6)),"Promo 1",IF(AND(A69&gt;=DATE(2014,9,10),A69&lt;=DATE(2014,9,23)),"Baseline 1",IF(AND(A69&gt;=DATE(2015,9,23),A69&lt;=DATE(2015,10,6)),"Promo 2",IF(AND(A69&gt;=DATE(2015,9,9),A69&lt;=DATE(2015,9,22)),"Baseline 2",IF(AND(A69&gt;=DATE(2016,6,23),A69&lt;=DATE(2016,7,6)),"Promo 3",IF(AND(A69&gt;=DATE(2016,6,9),A69&lt;=DATE(2016,6,22)),"Baseline 3","Other"))))))</f>
        <v>Other</v>
      </c>
    </row>
    <row r="70" customFormat="false" ht="15" hidden="false" customHeight="true" outlineLevel="0" collapsed="false">
      <c r="A70" s="12" t="n">
        <v>41706</v>
      </c>
      <c r="B70" s="13" t="n">
        <v>520146.749639591</v>
      </c>
      <c r="C70" s="13" t="n">
        <v>541498.958244596</v>
      </c>
      <c r="D70" s="14" t="n">
        <v>16262</v>
      </c>
      <c r="E70" s="15" t="n">
        <f aca="false">B70/D70</f>
        <v>31.9854107514199</v>
      </c>
      <c r="F70" s="15" t="n">
        <f aca="false">C70/D70</f>
        <v>33.2984232102199</v>
      </c>
      <c r="G70" s="13" t="n">
        <f aca="false">B70-C70</f>
        <v>-21352.208605005</v>
      </c>
      <c r="H70" s="16" t="n">
        <f aca="false">G70/B70</f>
        <v>-0.0410503547696874</v>
      </c>
      <c r="I70" s="15" t="n">
        <f aca="false">G70/D70</f>
        <v>-1.31301245879996</v>
      </c>
      <c r="J70" s="16" t="n">
        <f aca="false">I70/E70</f>
        <v>-0.0410503547696874</v>
      </c>
      <c r="K70" s="17" t="str">
        <f aca="false">TEXT(A70,"dddd")</f>
        <v>Saturday</v>
      </c>
      <c r="L70" s="17" t="str">
        <f aca="false">IF(AND(A70&gt;=DATE(2014,9,24),A70&lt;=DATE(2014,10,6)),"Promo 1",IF(AND(A70&gt;=DATE(2014,9,10),A70&lt;=DATE(2014,9,23)),"Baseline 1",IF(AND(A70&gt;=DATE(2015,9,23),A70&lt;=DATE(2015,10,6)),"Promo 2",IF(AND(A70&gt;=DATE(2015,9,9),A70&lt;=DATE(2015,9,22)),"Baseline 2",IF(AND(A70&gt;=DATE(2016,6,23),A70&lt;=DATE(2016,7,6)),"Promo 3",IF(AND(A70&gt;=DATE(2016,6,9),A70&lt;=DATE(2016,6,22)),"Baseline 3","Other"))))))</f>
        <v>Other</v>
      </c>
    </row>
    <row r="71" customFormat="false" ht="15" hidden="false" customHeight="true" outlineLevel="0" collapsed="false">
      <c r="A71" s="12" t="n">
        <v>41707</v>
      </c>
      <c r="B71" s="13" t="n">
        <v>224699.252819412</v>
      </c>
      <c r="C71" s="13" t="n">
        <v>233589.98296832</v>
      </c>
      <c r="D71" s="14" t="n">
        <v>7014</v>
      </c>
      <c r="E71" s="15" t="n">
        <f aca="false">B71/D71</f>
        <v>32.0358216166826</v>
      </c>
      <c r="F71" s="15" t="n">
        <f aca="false">C71/D71</f>
        <v>33.3033907853322</v>
      </c>
      <c r="G71" s="13" t="n">
        <f aca="false">B71-C71</f>
        <v>-8890.73014890798</v>
      </c>
      <c r="H71" s="16" t="n">
        <f aca="false">G71/B71</f>
        <v>-0.0395672439376261</v>
      </c>
      <c r="I71" s="15" t="n">
        <f aca="false">G71/D71</f>
        <v>-1.26756916864956</v>
      </c>
      <c r="J71" s="16" t="n">
        <f aca="false">I71/E71</f>
        <v>-0.0395672439376261</v>
      </c>
      <c r="K71" s="17" t="str">
        <f aca="false">TEXT(A71,"dddd")</f>
        <v>Sunday</v>
      </c>
      <c r="L71" s="17" t="str">
        <f aca="false">IF(AND(A71&gt;=DATE(2014,9,24),A71&lt;=DATE(2014,10,6)),"Promo 1",IF(AND(A71&gt;=DATE(2014,9,10),A71&lt;=DATE(2014,9,23)),"Baseline 1",IF(AND(A71&gt;=DATE(2015,9,23),A71&lt;=DATE(2015,10,6)),"Promo 2",IF(AND(A71&gt;=DATE(2015,9,9),A71&lt;=DATE(2015,9,22)),"Baseline 2",IF(AND(A71&gt;=DATE(2016,6,23),A71&lt;=DATE(2016,7,6)),"Promo 3",IF(AND(A71&gt;=DATE(2016,6,9),A71&lt;=DATE(2016,6,22)),"Baseline 3","Other"))))))</f>
        <v>Other</v>
      </c>
    </row>
    <row r="72" customFormat="false" ht="15" hidden="false" customHeight="true" outlineLevel="0" collapsed="false">
      <c r="A72" s="12" t="n">
        <v>41708</v>
      </c>
      <c r="B72" s="13" t="n">
        <v>286230.678896338</v>
      </c>
      <c r="C72" s="13" t="n">
        <v>297642.89143646</v>
      </c>
      <c r="D72" s="14" t="n">
        <v>8932</v>
      </c>
      <c r="E72" s="15" t="n">
        <f aca="false">B72/D72</f>
        <v>32.0455305526576</v>
      </c>
      <c r="F72" s="15" t="n">
        <f aca="false">C72/D72</f>
        <v>33.3232077291155</v>
      </c>
      <c r="G72" s="13" t="n">
        <f aca="false">B72-C72</f>
        <v>-11412.212540122</v>
      </c>
      <c r="H72" s="16" t="n">
        <f aca="false">G72/B72</f>
        <v>-0.0398706825701766</v>
      </c>
      <c r="I72" s="15" t="n">
        <f aca="false">G72/D72</f>
        <v>-1.27767717645791</v>
      </c>
      <c r="J72" s="16" t="n">
        <f aca="false">I72/E72</f>
        <v>-0.0398706825701766</v>
      </c>
      <c r="K72" s="17" t="str">
        <f aca="false">TEXT(A72,"dddd")</f>
        <v>Monday</v>
      </c>
      <c r="L72" s="17" t="str">
        <f aca="false">IF(AND(A72&gt;=DATE(2014,9,24),A72&lt;=DATE(2014,10,6)),"Promo 1",IF(AND(A72&gt;=DATE(2014,9,10),A72&lt;=DATE(2014,9,23)),"Baseline 1",IF(AND(A72&gt;=DATE(2015,9,23),A72&lt;=DATE(2015,10,6)),"Promo 2",IF(AND(A72&gt;=DATE(2015,9,9),A72&lt;=DATE(2015,9,22)),"Baseline 2",IF(AND(A72&gt;=DATE(2016,6,23),A72&lt;=DATE(2016,7,6)),"Promo 3",IF(AND(A72&gt;=DATE(2016,6,9),A72&lt;=DATE(2016,6,22)),"Baseline 3","Other"))))))</f>
        <v>Other</v>
      </c>
    </row>
    <row r="73" customFormat="false" ht="15" hidden="false" customHeight="true" outlineLevel="0" collapsed="false">
      <c r="A73" s="12" t="n">
        <v>41709</v>
      </c>
      <c r="B73" s="13" t="n">
        <v>187143.018062584</v>
      </c>
      <c r="C73" s="13" t="n">
        <v>191499.042813208</v>
      </c>
      <c r="D73" s="14" t="n">
        <v>5737</v>
      </c>
      <c r="E73" s="15" t="n">
        <f aca="false">B73/D73</f>
        <v>32.6203622211232</v>
      </c>
      <c r="F73" s="15" t="n">
        <f aca="false">C73/D73</f>
        <v>33.3796483899613</v>
      </c>
      <c r="G73" s="13" t="n">
        <f aca="false">B73-C73</f>
        <v>-4356.02475062403</v>
      </c>
      <c r="H73" s="16" t="n">
        <f aca="false">G73/B73</f>
        <v>-0.023276448118237</v>
      </c>
      <c r="I73" s="15" t="n">
        <f aca="false">G73/D73</f>
        <v>-0.759286168838073</v>
      </c>
      <c r="J73" s="16" t="n">
        <f aca="false">I73/E73</f>
        <v>-0.023276448118237</v>
      </c>
      <c r="K73" s="17" t="str">
        <f aca="false">TEXT(A73,"dddd")</f>
        <v>Tuesday</v>
      </c>
      <c r="L73" s="17" t="str">
        <f aca="false">IF(AND(A73&gt;=DATE(2014,9,24),A73&lt;=DATE(2014,10,6)),"Promo 1",IF(AND(A73&gt;=DATE(2014,9,10),A73&lt;=DATE(2014,9,23)),"Baseline 1",IF(AND(A73&gt;=DATE(2015,9,23),A73&lt;=DATE(2015,10,6)),"Promo 2",IF(AND(A73&gt;=DATE(2015,9,9),A73&lt;=DATE(2015,9,22)),"Baseline 2",IF(AND(A73&gt;=DATE(2016,6,23),A73&lt;=DATE(2016,7,6)),"Promo 3",IF(AND(A73&gt;=DATE(2016,6,9),A73&lt;=DATE(2016,6,22)),"Baseline 3","Other"))))))</f>
        <v>Other</v>
      </c>
    </row>
    <row r="74" customFormat="false" ht="15" hidden="false" customHeight="true" outlineLevel="0" collapsed="false">
      <c r="A74" s="12" t="n">
        <v>41710</v>
      </c>
      <c r="B74" s="13" t="n">
        <v>191700.389128235</v>
      </c>
      <c r="C74" s="13" t="n">
        <v>197153.42401906</v>
      </c>
      <c r="D74" s="14" t="n">
        <v>5903</v>
      </c>
      <c r="E74" s="15" t="n">
        <f aca="false">B74/D74</f>
        <v>32.4750786258233</v>
      </c>
      <c r="F74" s="15" t="n">
        <f aca="false">C74/D74</f>
        <v>33.3988521123259</v>
      </c>
      <c r="G74" s="13" t="n">
        <f aca="false">B74-C74</f>
        <v>-5453.03489082502</v>
      </c>
      <c r="H74" s="16" t="n">
        <f aca="false">G74/B74</f>
        <v>-0.0284456120074816</v>
      </c>
      <c r="I74" s="15" t="n">
        <f aca="false">G74/D74</f>
        <v>-0.923773486502629</v>
      </c>
      <c r="J74" s="16" t="n">
        <f aca="false">I74/E74</f>
        <v>-0.0284456120074816</v>
      </c>
      <c r="K74" s="17" t="str">
        <f aca="false">TEXT(A74,"dddd")</f>
        <v>Wednesday</v>
      </c>
      <c r="L74" s="17" t="str">
        <f aca="false">IF(AND(A74&gt;=DATE(2014,9,24),A74&lt;=DATE(2014,10,6)),"Promo 1",IF(AND(A74&gt;=DATE(2014,9,10),A74&lt;=DATE(2014,9,23)),"Baseline 1",IF(AND(A74&gt;=DATE(2015,9,23),A74&lt;=DATE(2015,10,6)),"Promo 2",IF(AND(A74&gt;=DATE(2015,9,9),A74&lt;=DATE(2015,9,22)),"Baseline 2",IF(AND(A74&gt;=DATE(2016,6,23),A74&lt;=DATE(2016,7,6)),"Promo 3",IF(AND(A74&gt;=DATE(2016,6,9),A74&lt;=DATE(2016,6,22)),"Baseline 3","Other"))))))</f>
        <v>Other</v>
      </c>
    </row>
    <row r="75" customFormat="false" ht="15" hidden="false" customHeight="true" outlineLevel="0" collapsed="false">
      <c r="A75" s="12" t="n">
        <v>41711</v>
      </c>
      <c r="B75" s="13" t="n">
        <v>164663.967602802</v>
      </c>
      <c r="C75" s="13" t="n">
        <v>168975.174045441</v>
      </c>
      <c r="D75" s="14" t="n">
        <v>5056</v>
      </c>
      <c r="E75" s="15" t="n">
        <f aca="false">B75/D75</f>
        <v>32.5680315670099</v>
      </c>
      <c r="F75" s="15" t="n">
        <f aca="false">C75/D75</f>
        <v>33.4207227146837</v>
      </c>
      <c r="G75" s="13" t="n">
        <f aca="false">B75-C75</f>
        <v>-4311.206442639</v>
      </c>
      <c r="H75" s="16" t="n">
        <f aca="false">G75/B75</f>
        <v>-0.0261818447921671</v>
      </c>
      <c r="I75" s="15" t="n">
        <f aca="false">G75/D75</f>
        <v>-0.852691147673853</v>
      </c>
      <c r="J75" s="16" t="n">
        <f aca="false">I75/E75</f>
        <v>-0.0261818447921671</v>
      </c>
      <c r="K75" s="17" t="str">
        <f aca="false">TEXT(A75,"dddd")</f>
        <v>Thursday</v>
      </c>
      <c r="L75" s="17" t="str">
        <f aca="false">IF(AND(A75&gt;=DATE(2014,9,24),A75&lt;=DATE(2014,10,6)),"Promo 1",IF(AND(A75&gt;=DATE(2014,9,10),A75&lt;=DATE(2014,9,23)),"Baseline 1",IF(AND(A75&gt;=DATE(2015,9,23),A75&lt;=DATE(2015,10,6)),"Promo 2",IF(AND(A75&gt;=DATE(2015,9,9),A75&lt;=DATE(2015,9,22)),"Baseline 2",IF(AND(A75&gt;=DATE(2016,6,23),A75&lt;=DATE(2016,7,6)),"Promo 3",IF(AND(A75&gt;=DATE(2016,6,9),A75&lt;=DATE(2016,6,22)),"Baseline 3","Other"))))))</f>
        <v>Other</v>
      </c>
    </row>
    <row r="76" customFormat="false" ht="15" hidden="false" customHeight="true" outlineLevel="0" collapsed="false">
      <c r="A76" s="12" t="n">
        <v>41712</v>
      </c>
      <c r="B76" s="13" t="n">
        <v>395941.345132162</v>
      </c>
      <c r="C76" s="13" t="n">
        <v>406765.913954023</v>
      </c>
      <c r="D76" s="14" t="n">
        <v>12167</v>
      </c>
      <c r="E76" s="15" t="n">
        <f aca="false">B76/D76</f>
        <v>32.5422326894191</v>
      </c>
      <c r="F76" s="15" t="n">
        <f aca="false">C76/D76</f>
        <v>33.4318989031004</v>
      </c>
      <c r="G76" s="13" t="n">
        <f aca="false">B76-C76</f>
        <v>-10824.568821861</v>
      </c>
      <c r="H76" s="16" t="n">
        <f aca="false">G76/B76</f>
        <v>-0.0273388191330406</v>
      </c>
      <c r="I76" s="15" t="n">
        <f aca="false">G76/D76</f>
        <v>-0.889666213681351</v>
      </c>
      <c r="J76" s="16" t="n">
        <f aca="false">I76/E76</f>
        <v>-0.0273388191330407</v>
      </c>
      <c r="K76" s="17" t="str">
        <f aca="false">TEXT(A76,"dddd")</f>
        <v>Friday</v>
      </c>
      <c r="L76" s="17" t="str">
        <f aca="false">IF(AND(A76&gt;=DATE(2014,9,24),A76&lt;=DATE(2014,10,6)),"Promo 1",IF(AND(A76&gt;=DATE(2014,9,10),A76&lt;=DATE(2014,9,23)),"Baseline 1",IF(AND(A76&gt;=DATE(2015,9,23),A76&lt;=DATE(2015,10,6)),"Promo 2",IF(AND(A76&gt;=DATE(2015,9,9),A76&lt;=DATE(2015,9,22)),"Baseline 2",IF(AND(A76&gt;=DATE(2016,6,23),A76&lt;=DATE(2016,7,6)),"Promo 3",IF(AND(A76&gt;=DATE(2016,6,9),A76&lt;=DATE(2016,6,22)),"Baseline 3","Other"))))))</f>
        <v>Other</v>
      </c>
    </row>
    <row r="77" customFormat="false" ht="15" hidden="false" customHeight="true" outlineLevel="0" collapsed="false">
      <c r="A77" s="12" t="n">
        <v>41713</v>
      </c>
      <c r="B77" s="13" t="n">
        <v>518183.210374914</v>
      </c>
      <c r="C77" s="13" t="n">
        <v>534383.143118609</v>
      </c>
      <c r="D77" s="14" t="n">
        <v>15971</v>
      </c>
      <c r="E77" s="15" t="n">
        <f aca="false">B77/D77</f>
        <v>32.4452576779735</v>
      </c>
      <c r="F77" s="15" t="n">
        <f aca="false">C77/D77</f>
        <v>33.4595919553321</v>
      </c>
      <c r="G77" s="13" t="n">
        <f aca="false">B77-C77</f>
        <v>-16199.932743695</v>
      </c>
      <c r="H77" s="16" t="n">
        <f aca="false">G77/B77</f>
        <v>-0.0312629441080773</v>
      </c>
      <c r="I77" s="15" t="n">
        <f aca="false">G77/D77</f>
        <v>-1.01433427735865</v>
      </c>
      <c r="J77" s="16" t="n">
        <f aca="false">I77/E77</f>
        <v>-0.0312629441080773</v>
      </c>
      <c r="K77" s="17" t="str">
        <f aca="false">TEXT(A77,"dddd")</f>
        <v>Saturday</v>
      </c>
      <c r="L77" s="17" t="str">
        <f aca="false">IF(AND(A77&gt;=DATE(2014,9,24),A77&lt;=DATE(2014,10,6)),"Promo 1",IF(AND(A77&gt;=DATE(2014,9,10),A77&lt;=DATE(2014,9,23)),"Baseline 1",IF(AND(A77&gt;=DATE(2015,9,23),A77&lt;=DATE(2015,10,6)),"Promo 2",IF(AND(A77&gt;=DATE(2015,9,9),A77&lt;=DATE(2015,9,22)),"Baseline 2",IF(AND(A77&gt;=DATE(2016,6,23),A77&lt;=DATE(2016,7,6)),"Promo 3",IF(AND(A77&gt;=DATE(2016,6,9),A77&lt;=DATE(2016,6,22)),"Baseline 3","Other"))))))</f>
        <v>Other</v>
      </c>
    </row>
    <row r="78" customFormat="false" ht="15" hidden="false" customHeight="true" outlineLevel="0" collapsed="false">
      <c r="A78" s="12" t="n">
        <v>41714</v>
      </c>
      <c r="B78" s="13" t="n">
        <v>226617.954940271</v>
      </c>
      <c r="C78" s="13" t="n">
        <v>233191.104566223</v>
      </c>
      <c r="D78" s="14" t="n">
        <v>6968</v>
      </c>
      <c r="E78" s="15" t="n">
        <f aca="false">B78/D78</f>
        <v>32.5226686194419</v>
      </c>
      <c r="F78" s="15" t="n">
        <f aca="false">C78/D78</f>
        <v>33.4660023774717</v>
      </c>
      <c r="G78" s="13" t="n">
        <f aca="false">B78-C78</f>
        <v>-6573.14962595198</v>
      </c>
      <c r="H78" s="16" t="n">
        <f aca="false">G78/B78</f>
        <v>-0.0290054229272541</v>
      </c>
      <c r="I78" s="15" t="n">
        <f aca="false">G78/D78</f>
        <v>-0.943333758029847</v>
      </c>
      <c r="J78" s="16" t="n">
        <f aca="false">I78/E78</f>
        <v>-0.0290054229272541</v>
      </c>
      <c r="K78" s="17" t="str">
        <f aca="false">TEXT(A78,"dddd")</f>
        <v>Sunday</v>
      </c>
      <c r="L78" s="17" t="str">
        <f aca="false">IF(AND(A78&gt;=DATE(2014,9,24),A78&lt;=DATE(2014,10,6)),"Promo 1",IF(AND(A78&gt;=DATE(2014,9,10),A78&lt;=DATE(2014,9,23)),"Baseline 1",IF(AND(A78&gt;=DATE(2015,9,23),A78&lt;=DATE(2015,10,6)),"Promo 2",IF(AND(A78&gt;=DATE(2015,9,9),A78&lt;=DATE(2015,9,22)),"Baseline 2",IF(AND(A78&gt;=DATE(2016,6,23),A78&lt;=DATE(2016,7,6)),"Promo 3",IF(AND(A78&gt;=DATE(2016,6,9),A78&lt;=DATE(2016,6,22)),"Baseline 3","Other"))))))</f>
        <v>Other</v>
      </c>
    </row>
    <row r="79" customFormat="false" ht="15" hidden="false" customHeight="true" outlineLevel="0" collapsed="false">
      <c r="A79" s="12" t="n">
        <v>41715</v>
      </c>
      <c r="B79" s="13" t="n">
        <v>243707.871947377</v>
      </c>
      <c r="C79" s="13" t="n">
        <v>250794.221264095</v>
      </c>
      <c r="D79" s="14" t="n">
        <v>7494</v>
      </c>
      <c r="E79" s="15" t="n">
        <f aca="false">B79/D79</f>
        <v>32.5203992457135</v>
      </c>
      <c r="F79" s="15" t="n">
        <f aca="false">C79/D79</f>
        <v>33.4660023037223</v>
      </c>
      <c r="G79" s="13" t="n">
        <f aca="false">B79-C79</f>
        <v>-7086.349316718</v>
      </c>
      <c r="H79" s="16" t="n">
        <f aca="false">G79/B79</f>
        <v>-0.029077227830573</v>
      </c>
      <c r="I79" s="15" t="n">
        <f aca="false">G79/D79</f>
        <v>-0.945603058008807</v>
      </c>
      <c r="J79" s="16" t="n">
        <f aca="false">I79/E79</f>
        <v>-0.029077227830573</v>
      </c>
      <c r="K79" s="17" t="str">
        <f aca="false">TEXT(A79,"dddd")</f>
        <v>Monday</v>
      </c>
      <c r="L79" s="17" t="str">
        <f aca="false">IF(AND(A79&gt;=DATE(2014,9,24),A79&lt;=DATE(2014,10,6)),"Promo 1",IF(AND(A79&gt;=DATE(2014,9,10),A79&lt;=DATE(2014,9,23)),"Baseline 1",IF(AND(A79&gt;=DATE(2015,9,23),A79&lt;=DATE(2015,10,6)),"Promo 2",IF(AND(A79&gt;=DATE(2015,9,9),A79&lt;=DATE(2015,9,22)),"Baseline 2",IF(AND(A79&gt;=DATE(2016,6,23),A79&lt;=DATE(2016,7,6)),"Promo 3",IF(AND(A79&gt;=DATE(2016,6,9),A79&lt;=DATE(2016,6,22)),"Baseline 3","Other"))))))</f>
        <v>Other</v>
      </c>
    </row>
    <row r="80" customFormat="false" ht="15" hidden="false" customHeight="true" outlineLevel="0" collapsed="false">
      <c r="A80" s="12" t="n">
        <v>41716</v>
      </c>
      <c r="B80" s="13" t="n">
        <v>94849.7437997705</v>
      </c>
      <c r="C80" s="13" t="n">
        <v>90571.5889229769</v>
      </c>
      <c r="D80" s="14" t="n">
        <v>2707</v>
      </c>
      <c r="E80" s="15" t="n">
        <f aca="false">B80/D80</f>
        <v>35.0386936829592</v>
      </c>
      <c r="F80" s="15" t="n">
        <f aca="false">C80/D80</f>
        <v>33.458289221639</v>
      </c>
      <c r="G80" s="13" t="n">
        <f aca="false">B80-C80</f>
        <v>4278.1548767936</v>
      </c>
      <c r="H80" s="16" t="n">
        <f aca="false">G80/B80</f>
        <v>0.0451045485776416</v>
      </c>
      <c r="I80" s="15" t="n">
        <f aca="false">G80/D80</f>
        <v>1.58040446132013</v>
      </c>
      <c r="J80" s="16" t="n">
        <f aca="false">I80/E80</f>
        <v>0.0451045485776416</v>
      </c>
      <c r="K80" s="17" t="str">
        <f aca="false">TEXT(A80,"dddd")</f>
        <v>Tuesday</v>
      </c>
      <c r="L80" s="17" t="str">
        <f aca="false">IF(AND(A80&gt;=DATE(2014,9,24),A80&lt;=DATE(2014,10,6)),"Promo 1",IF(AND(A80&gt;=DATE(2014,9,10),A80&lt;=DATE(2014,9,23)),"Baseline 1",IF(AND(A80&gt;=DATE(2015,9,23),A80&lt;=DATE(2015,10,6)),"Promo 2",IF(AND(A80&gt;=DATE(2015,9,9),A80&lt;=DATE(2015,9,22)),"Baseline 2",IF(AND(A80&gt;=DATE(2016,6,23),A80&lt;=DATE(2016,7,6)),"Promo 3",IF(AND(A80&gt;=DATE(2016,6,9),A80&lt;=DATE(2016,6,22)),"Baseline 3","Other"))))))</f>
        <v>Other</v>
      </c>
    </row>
    <row r="81" customFormat="false" ht="15" hidden="false" customHeight="true" outlineLevel="0" collapsed="false">
      <c r="A81" s="12" t="n">
        <v>41717</v>
      </c>
      <c r="B81" s="13" t="n">
        <v>92386.7830665756</v>
      </c>
      <c r="C81" s="13" t="n">
        <v>88255.8409917939</v>
      </c>
      <c r="D81" s="14" t="n">
        <v>2637</v>
      </c>
      <c r="E81" s="15" t="n">
        <f aca="false">B81/D81</f>
        <v>35.0348058652164</v>
      </c>
      <c r="F81" s="15" t="n">
        <f aca="false">C81/D81</f>
        <v>33.4682749305248</v>
      </c>
      <c r="G81" s="13" t="n">
        <f aca="false">B81-C81</f>
        <v>4130.94207478171</v>
      </c>
      <c r="H81" s="16" t="n">
        <f aca="false">G81/B81</f>
        <v>0.0447135611573884</v>
      </c>
      <c r="I81" s="15" t="n">
        <f aca="false">G81/D81</f>
        <v>1.56653093469158</v>
      </c>
      <c r="J81" s="16" t="n">
        <f aca="false">I81/E81</f>
        <v>0.0447135611573884</v>
      </c>
      <c r="K81" s="17" t="str">
        <f aca="false">TEXT(A81,"dddd")</f>
        <v>Wednesday</v>
      </c>
      <c r="L81" s="17" t="str">
        <f aca="false">IF(AND(A81&gt;=DATE(2014,9,24),A81&lt;=DATE(2014,10,6)),"Promo 1",IF(AND(A81&gt;=DATE(2014,9,10),A81&lt;=DATE(2014,9,23)),"Baseline 1",IF(AND(A81&gt;=DATE(2015,9,23),A81&lt;=DATE(2015,10,6)),"Promo 2",IF(AND(A81&gt;=DATE(2015,9,9),A81&lt;=DATE(2015,9,22)),"Baseline 2",IF(AND(A81&gt;=DATE(2016,6,23),A81&lt;=DATE(2016,7,6)),"Promo 3",IF(AND(A81&gt;=DATE(2016,6,9),A81&lt;=DATE(2016,6,22)),"Baseline 3","Other"))))))</f>
        <v>Other</v>
      </c>
    </row>
    <row r="82" customFormat="false" ht="15" hidden="false" customHeight="true" outlineLevel="0" collapsed="false">
      <c r="A82" s="12" t="n">
        <v>41718</v>
      </c>
      <c r="B82" s="13" t="n">
        <v>180394.82770444</v>
      </c>
      <c r="C82" s="13" t="n">
        <v>172344.304439481</v>
      </c>
      <c r="D82" s="14" t="n">
        <v>5149</v>
      </c>
      <c r="E82" s="15" t="n">
        <f aca="false">B82/D82</f>
        <v>35.0349247823733</v>
      </c>
      <c r="F82" s="15" t="n">
        <f aca="false">C82/D82</f>
        <v>33.4714127868481</v>
      </c>
      <c r="G82" s="13" t="n">
        <f aca="false">B82-C82</f>
        <v>8050.52326495899</v>
      </c>
      <c r="H82" s="16" t="n">
        <f aca="false">G82/B82</f>
        <v>0.0446272399680384</v>
      </c>
      <c r="I82" s="15" t="n">
        <f aca="false">G82/D82</f>
        <v>1.56351199552515</v>
      </c>
      <c r="J82" s="16" t="n">
        <f aca="false">I82/E82</f>
        <v>0.0446272399680384</v>
      </c>
      <c r="K82" s="17" t="str">
        <f aca="false">TEXT(A82,"dddd")</f>
        <v>Thursday</v>
      </c>
      <c r="L82" s="17" t="str">
        <f aca="false">IF(AND(A82&gt;=DATE(2014,9,24),A82&lt;=DATE(2014,10,6)),"Promo 1",IF(AND(A82&gt;=DATE(2014,9,10),A82&lt;=DATE(2014,9,23)),"Baseline 1",IF(AND(A82&gt;=DATE(2015,9,23),A82&lt;=DATE(2015,10,6)),"Promo 2",IF(AND(A82&gt;=DATE(2015,9,9),A82&lt;=DATE(2015,9,22)),"Baseline 2",IF(AND(A82&gt;=DATE(2016,6,23),A82&lt;=DATE(2016,7,6)),"Promo 3",IF(AND(A82&gt;=DATE(2016,6,9),A82&lt;=DATE(2016,6,22)),"Baseline 3","Other"))))))</f>
        <v>Other</v>
      </c>
    </row>
    <row r="83" customFormat="false" ht="15" hidden="false" customHeight="true" outlineLevel="0" collapsed="false">
      <c r="A83" s="12" t="n">
        <v>41719</v>
      </c>
      <c r="B83" s="13" t="n">
        <v>200939.692363944</v>
      </c>
      <c r="C83" s="13" t="n">
        <v>192019.144274927</v>
      </c>
      <c r="D83" s="14" t="n">
        <v>5735</v>
      </c>
      <c r="E83" s="15" t="n">
        <f aca="false">B83/D83</f>
        <v>35.0374354601472</v>
      </c>
      <c r="F83" s="15" t="n">
        <f aca="false">C83/D83</f>
        <v>33.481978077581</v>
      </c>
      <c r="G83" s="13" t="n">
        <f aca="false">B83-C83</f>
        <v>8920.54808901699</v>
      </c>
      <c r="H83" s="16" t="n">
        <f aca="false">G83/B83</f>
        <v>0.0443941561971738</v>
      </c>
      <c r="I83" s="15" t="n">
        <f aca="false">G83/D83</f>
        <v>1.55545738256617</v>
      </c>
      <c r="J83" s="16" t="n">
        <f aca="false">I83/E83</f>
        <v>0.0443941561971738</v>
      </c>
      <c r="K83" s="17" t="str">
        <f aca="false">TEXT(A83,"dddd")</f>
        <v>Friday</v>
      </c>
      <c r="L83" s="17" t="str">
        <f aca="false">IF(AND(A83&gt;=DATE(2014,9,24),A83&lt;=DATE(2014,10,6)),"Promo 1",IF(AND(A83&gt;=DATE(2014,9,10),A83&lt;=DATE(2014,9,23)),"Baseline 1",IF(AND(A83&gt;=DATE(2015,9,23),A83&lt;=DATE(2015,10,6)),"Promo 2",IF(AND(A83&gt;=DATE(2015,9,9),A83&lt;=DATE(2015,9,22)),"Baseline 2",IF(AND(A83&gt;=DATE(2016,6,23),A83&lt;=DATE(2016,7,6)),"Promo 3",IF(AND(A83&gt;=DATE(2016,6,9),A83&lt;=DATE(2016,6,22)),"Baseline 3","Other"))))))</f>
        <v>Other</v>
      </c>
    </row>
    <row r="84" customFormat="false" ht="15" hidden="false" customHeight="true" outlineLevel="0" collapsed="false">
      <c r="A84" s="12" t="n">
        <v>41720</v>
      </c>
      <c r="B84" s="13" t="n">
        <v>172953.92471044</v>
      </c>
      <c r="C84" s="13" t="n">
        <v>165201.30501851</v>
      </c>
      <c r="D84" s="14" t="n">
        <v>4936</v>
      </c>
      <c r="E84" s="15" t="n">
        <f aca="false">B84/D84</f>
        <v>35.0392878262642</v>
      </c>
      <c r="F84" s="15" t="n">
        <f aca="false">C84/D84</f>
        <v>33.4686598497792</v>
      </c>
      <c r="G84" s="13" t="n">
        <f aca="false">B84-C84</f>
        <v>7752.61969193001</v>
      </c>
      <c r="H84" s="16" t="n">
        <f aca="false">G84/B84</f>
        <v>0.0448247688215776</v>
      </c>
      <c r="I84" s="15" t="n">
        <f aca="false">G84/D84</f>
        <v>1.57062797648501</v>
      </c>
      <c r="J84" s="16" t="n">
        <f aca="false">I84/E84</f>
        <v>0.0448247688215776</v>
      </c>
      <c r="K84" s="17" t="str">
        <f aca="false">TEXT(A84,"dddd")</f>
        <v>Saturday</v>
      </c>
      <c r="L84" s="17" t="str">
        <f aca="false">IF(AND(A84&gt;=DATE(2014,9,24),A84&lt;=DATE(2014,10,6)),"Promo 1",IF(AND(A84&gt;=DATE(2014,9,10),A84&lt;=DATE(2014,9,23)),"Baseline 1",IF(AND(A84&gt;=DATE(2015,9,23),A84&lt;=DATE(2015,10,6)),"Promo 2",IF(AND(A84&gt;=DATE(2015,9,9),A84&lt;=DATE(2015,9,22)),"Baseline 2",IF(AND(A84&gt;=DATE(2016,6,23),A84&lt;=DATE(2016,7,6)),"Promo 3",IF(AND(A84&gt;=DATE(2016,6,9),A84&lt;=DATE(2016,6,22)),"Baseline 3","Other"))))))</f>
        <v>Other</v>
      </c>
    </row>
    <row r="85" customFormat="false" ht="15" hidden="false" customHeight="true" outlineLevel="0" collapsed="false">
      <c r="A85" s="12" t="n">
        <v>41721</v>
      </c>
      <c r="B85" s="13" t="n">
        <v>70194.7995378612</v>
      </c>
      <c r="C85" s="13" t="n">
        <v>67061.6227094469</v>
      </c>
      <c r="D85" s="14" t="n">
        <v>2003</v>
      </c>
      <c r="E85" s="15" t="n">
        <f aca="false">B85/D85</f>
        <v>35.0448325201504</v>
      </c>
      <c r="F85" s="15" t="n">
        <f aca="false">C85/D85</f>
        <v>33.4805904690199</v>
      </c>
      <c r="G85" s="13" t="n">
        <f aca="false">B85-C85</f>
        <v>3133.17682841429</v>
      </c>
      <c r="H85" s="16" t="n">
        <f aca="false">G85/B85</f>
        <v>0.0446354551767662</v>
      </c>
      <c r="I85" s="15" t="n">
        <f aca="false">G85/D85</f>
        <v>1.56424205113045</v>
      </c>
      <c r="J85" s="16" t="n">
        <f aca="false">I85/E85</f>
        <v>0.0446354551767662</v>
      </c>
      <c r="K85" s="17" t="str">
        <f aca="false">TEXT(A85,"dddd")</f>
        <v>Sunday</v>
      </c>
      <c r="L85" s="17" t="str">
        <f aca="false">IF(AND(A85&gt;=DATE(2014,9,24),A85&lt;=DATE(2014,10,6)),"Promo 1",IF(AND(A85&gt;=DATE(2014,9,10),A85&lt;=DATE(2014,9,23)),"Baseline 1",IF(AND(A85&gt;=DATE(2015,9,23),A85&lt;=DATE(2015,10,6)),"Promo 2",IF(AND(A85&gt;=DATE(2015,9,9),A85&lt;=DATE(2015,9,22)),"Baseline 2",IF(AND(A85&gt;=DATE(2016,6,23),A85&lt;=DATE(2016,7,6)),"Promo 3",IF(AND(A85&gt;=DATE(2016,6,9),A85&lt;=DATE(2016,6,22)),"Baseline 3","Other"))))))</f>
        <v>Other</v>
      </c>
    </row>
    <row r="86" customFormat="false" ht="15" hidden="false" customHeight="true" outlineLevel="0" collapsed="false">
      <c r="A86" s="12" t="n">
        <v>41722</v>
      </c>
      <c r="B86" s="13" t="n">
        <v>81378.214631671</v>
      </c>
      <c r="C86" s="13" t="n">
        <v>77703.6463336835</v>
      </c>
      <c r="D86" s="14" t="n">
        <v>2323</v>
      </c>
      <c r="E86" s="15" t="n">
        <f aca="false">B86/D86</f>
        <v>35.0315172757947</v>
      </c>
      <c r="F86" s="15" t="n">
        <f aca="false">C86/D86</f>
        <v>33.4496970872508</v>
      </c>
      <c r="G86" s="13" t="n">
        <f aca="false">B86-C86</f>
        <v>3674.5682979875</v>
      </c>
      <c r="H86" s="16" t="n">
        <f aca="false">G86/B86</f>
        <v>0.0451542014606624</v>
      </c>
      <c r="I86" s="15" t="n">
        <f aca="false">G86/D86</f>
        <v>1.58182018854391</v>
      </c>
      <c r="J86" s="16" t="n">
        <f aca="false">I86/E86</f>
        <v>0.0451542014606624</v>
      </c>
      <c r="K86" s="17" t="str">
        <f aca="false">TEXT(A86,"dddd")</f>
        <v>Monday</v>
      </c>
      <c r="L86" s="17" t="str">
        <f aca="false">IF(AND(A86&gt;=DATE(2014,9,24),A86&lt;=DATE(2014,10,6)),"Promo 1",IF(AND(A86&gt;=DATE(2014,9,10),A86&lt;=DATE(2014,9,23)),"Baseline 1",IF(AND(A86&gt;=DATE(2015,9,23),A86&lt;=DATE(2015,10,6)),"Promo 2",IF(AND(A86&gt;=DATE(2015,9,9),A86&lt;=DATE(2015,9,22)),"Baseline 2",IF(AND(A86&gt;=DATE(2016,6,23),A86&lt;=DATE(2016,7,6)),"Promo 3",IF(AND(A86&gt;=DATE(2016,6,9),A86&lt;=DATE(2016,6,22)),"Baseline 3","Other"))))))</f>
        <v>Other</v>
      </c>
    </row>
    <row r="87" customFormat="false" ht="15" hidden="false" customHeight="true" outlineLevel="0" collapsed="false">
      <c r="A87" s="12" t="n">
        <v>41723</v>
      </c>
      <c r="B87" s="13" t="n">
        <v>130227.014714579</v>
      </c>
      <c r="C87" s="13" t="n">
        <v>127394.289242136</v>
      </c>
      <c r="D87" s="14" t="n">
        <v>3822</v>
      </c>
      <c r="E87" s="15" t="n">
        <f aca="false">B87/D87</f>
        <v>34.0730022801096</v>
      </c>
      <c r="F87" s="15" t="n">
        <f aca="false">C87/D87</f>
        <v>33.3318391528352</v>
      </c>
      <c r="G87" s="13" t="n">
        <f aca="false">B87-C87</f>
        <v>2832.725472443</v>
      </c>
      <c r="H87" s="16" t="n">
        <f aca="false">G87/B87</f>
        <v>0.0217522107732526</v>
      </c>
      <c r="I87" s="15" t="n">
        <f aca="false">G87/D87</f>
        <v>0.741163127274462</v>
      </c>
      <c r="J87" s="16" t="n">
        <f aca="false">I87/E87</f>
        <v>0.0217522107732526</v>
      </c>
      <c r="K87" s="17" t="str">
        <f aca="false">TEXT(A87,"dddd")</f>
        <v>Tuesday</v>
      </c>
      <c r="L87" s="17" t="str">
        <f aca="false">IF(AND(A87&gt;=DATE(2014,9,24),A87&lt;=DATE(2014,10,6)),"Promo 1",IF(AND(A87&gt;=DATE(2014,9,10),A87&lt;=DATE(2014,9,23)),"Baseline 1",IF(AND(A87&gt;=DATE(2015,9,23),A87&lt;=DATE(2015,10,6)),"Promo 2",IF(AND(A87&gt;=DATE(2015,9,9),A87&lt;=DATE(2015,9,22)),"Baseline 2",IF(AND(A87&gt;=DATE(2016,6,23),A87&lt;=DATE(2016,7,6)),"Promo 3",IF(AND(A87&gt;=DATE(2016,6,9),A87&lt;=DATE(2016,6,22)),"Baseline 3","Other"))))))</f>
        <v>Other</v>
      </c>
    </row>
    <row r="88" customFormat="false" ht="15" hidden="false" customHeight="true" outlineLevel="0" collapsed="false">
      <c r="A88" s="12" t="n">
        <v>41724</v>
      </c>
      <c r="B88" s="13" t="n">
        <v>125310.036407854</v>
      </c>
      <c r="C88" s="13" t="n">
        <v>122275.102582178</v>
      </c>
      <c r="D88" s="14" t="n">
        <v>3666</v>
      </c>
      <c r="E88" s="15" t="n">
        <f aca="false">B88/D88</f>
        <v>34.1816793256558</v>
      </c>
      <c r="F88" s="15" t="n">
        <f aca="false">C88/D88</f>
        <v>33.3538195805177</v>
      </c>
      <c r="G88" s="13" t="n">
        <f aca="false">B88-C88</f>
        <v>3034.93382567599</v>
      </c>
      <c r="H88" s="16" t="n">
        <f aca="false">G88/B88</f>
        <v>0.0242193994405844</v>
      </c>
      <c r="I88" s="15" t="n">
        <f aca="false">G88/D88</f>
        <v>0.827859745138024</v>
      </c>
      <c r="J88" s="16" t="n">
        <f aca="false">I88/E88</f>
        <v>0.0242193994405844</v>
      </c>
      <c r="K88" s="17" t="str">
        <f aca="false">TEXT(A88,"dddd")</f>
        <v>Wednesday</v>
      </c>
      <c r="L88" s="17" t="str">
        <f aca="false">IF(AND(A88&gt;=DATE(2014,9,24),A88&lt;=DATE(2014,10,6)),"Promo 1",IF(AND(A88&gt;=DATE(2014,9,10),A88&lt;=DATE(2014,9,23)),"Baseline 1",IF(AND(A88&gt;=DATE(2015,9,23),A88&lt;=DATE(2015,10,6)),"Promo 2",IF(AND(A88&gt;=DATE(2015,9,9),A88&lt;=DATE(2015,9,22)),"Baseline 2",IF(AND(A88&gt;=DATE(2016,6,23),A88&lt;=DATE(2016,7,6)),"Promo 3",IF(AND(A88&gt;=DATE(2016,6,9),A88&lt;=DATE(2016,6,22)),"Baseline 3","Other"))))))</f>
        <v>Other</v>
      </c>
    </row>
    <row r="89" customFormat="false" ht="15" hidden="false" customHeight="true" outlineLevel="0" collapsed="false">
      <c r="A89" s="12" t="n">
        <v>41725</v>
      </c>
      <c r="B89" s="13" t="n">
        <v>119452.33963455</v>
      </c>
      <c r="C89" s="13" t="n">
        <v>118186.575041227</v>
      </c>
      <c r="D89" s="14" t="n">
        <v>3543</v>
      </c>
      <c r="E89" s="15" t="n">
        <f aca="false">B89/D89</f>
        <v>33.7150267102879</v>
      </c>
      <c r="F89" s="15" t="n">
        <f aca="false">C89/D89</f>
        <v>33.3577688516023</v>
      </c>
      <c r="G89" s="13" t="n">
        <f aca="false">B89-C89</f>
        <v>1265.76459332299</v>
      </c>
      <c r="H89" s="16" t="n">
        <f aca="false">G89/B89</f>
        <v>0.0105963985066801</v>
      </c>
      <c r="I89" s="15" t="n">
        <f aca="false">G89/D89</f>
        <v>0.357257858685576</v>
      </c>
      <c r="J89" s="16" t="n">
        <f aca="false">I89/E89</f>
        <v>0.0105963985066801</v>
      </c>
      <c r="K89" s="17" t="str">
        <f aca="false">TEXT(A89,"dddd")</f>
        <v>Thursday</v>
      </c>
      <c r="L89" s="17" t="str">
        <f aca="false">IF(AND(A89&gt;=DATE(2014,9,24),A89&lt;=DATE(2014,10,6)),"Promo 1",IF(AND(A89&gt;=DATE(2014,9,10),A89&lt;=DATE(2014,9,23)),"Baseline 1",IF(AND(A89&gt;=DATE(2015,9,23),A89&lt;=DATE(2015,10,6)),"Promo 2",IF(AND(A89&gt;=DATE(2015,9,9),A89&lt;=DATE(2015,9,22)),"Baseline 2",IF(AND(A89&gt;=DATE(2016,6,23),A89&lt;=DATE(2016,7,6)),"Promo 3",IF(AND(A89&gt;=DATE(2016,6,9),A89&lt;=DATE(2016,6,22)),"Baseline 3","Other"))))))</f>
        <v>Other</v>
      </c>
    </row>
    <row r="90" customFormat="false" ht="15" hidden="false" customHeight="true" outlineLevel="0" collapsed="false">
      <c r="A90" s="12" t="n">
        <v>41726</v>
      </c>
      <c r="B90" s="13" t="n">
        <v>276174.769320284</v>
      </c>
      <c r="C90" s="13" t="n">
        <v>271550.895580823</v>
      </c>
      <c r="D90" s="14" t="n">
        <v>8130</v>
      </c>
      <c r="E90" s="15" t="n">
        <f aca="false">B90/D90</f>
        <v>33.9698363247582</v>
      </c>
      <c r="F90" s="15" t="n">
        <f aca="false">C90/D90</f>
        <v>33.4010941673829</v>
      </c>
      <c r="G90" s="13" t="n">
        <f aca="false">B90-C90</f>
        <v>4623.87373946101</v>
      </c>
      <c r="H90" s="16" t="n">
        <f aca="false">G90/B90</f>
        <v>0.01674256395992</v>
      </c>
      <c r="I90" s="15" t="n">
        <f aca="false">G90/D90</f>
        <v>0.568742157375278</v>
      </c>
      <c r="J90" s="16" t="n">
        <f aca="false">I90/E90</f>
        <v>0.01674256395992</v>
      </c>
      <c r="K90" s="17" t="str">
        <f aca="false">TEXT(A90,"dddd")</f>
        <v>Friday</v>
      </c>
      <c r="L90" s="17" t="str">
        <f aca="false">IF(AND(A90&gt;=DATE(2014,9,24),A90&lt;=DATE(2014,10,6)),"Promo 1",IF(AND(A90&gt;=DATE(2014,9,10),A90&lt;=DATE(2014,9,23)),"Baseline 1",IF(AND(A90&gt;=DATE(2015,9,23),A90&lt;=DATE(2015,10,6)),"Promo 2",IF(AND(A90&gt;=DATE(2015,9,9),A90&lt;=DATE(2015,9,22)),"Baseline 2",IF(AND(A90&gt;=DATE(2016,6,23),A90&lt;=DATE(2016,7,6)),"Promo 3",IF(AND(A90&gt;=DATE(2016,6,9),A90&lt;=DATE(2016,6,22)),"Baseline 3","Other"))))))</f>
        <v>Other</v>
      </c>
    </row>
    <row r="91" customFormat="false" ht="15" hidden="false" customHeight="true" outlineLevel="0" collapsed="false">
      <c r="A91" s="12" t="n">
        <v>41727</v>
      </c>
      <c r="B91" s="13" t="n">
        <v>357369.266940651</v>
      </c>
      <c r="C91" s="13" t="n">
        <v>352250.830074618</v>
      </c>
      <c r="D91" s="14" t="n">
        <v>10518</v>
      </c>
      <c r="E91" s="15" t="n">
        <f aca="false">B91/D91</f>
        <v>33.9769221278428</v>
      </c>
      <c r="F91" s="15" t="n">
        <f aca="false">C91/D91</f>
        <v>33.4902861831734</v>
      </c>
      <c r="G91" s="13" t="n">
        <f aca="false">B91-C91</f>
        <v>5118.43686603301</v>
      </c>
      <c r="H91" s="16" t="n">
        <f aca="false">G91/B91</f>
        <v>0.0143225434852042</v>
      </c>
      <c r="I91" s="15" t="n">
        <f aca="false">G91/D91</f>
        <v>0.486635944669425</v>
      </c>
      <c r="J91" s="16" t="n">
        <f aca="false">I91/E91</f>
        <v>0.0143225434852042</v>
      </c>
      <c r="K91" s="17" t="str">
        <f aca="false">TEXT(A91,"dddd")</f>
        <v>Saturday</v>
      </c>
      <c r="L91" s="17" t="str">
        <f aca="false">IF(AND(A91&gt;=DATE(2014,9,24),A91&lt;=DATE(2014,10,6)),"Promo 1",IF(AND(A91&gt;=DATE(2014,9,10),A91&lt;=DATE(2014,9,23)),"Baseline 1",IF(AND(A91&gt;=DATE(2015,9,23),A91&lt;=DATE(2015,10,6)),"Promo 2",IF(AND(A91&gt;=DATE(2015,9,9),A91&lt;=DATE(2015,9,22)),"Baseline 2",IF(AND(A91&gt;=DATE(2016,6,23),A91&lt;=DATE(2016,7,6)),"Promo 3",IF(AND(A91&gt;=DATE(2016,6,9),A91&lt;=DATE(2016,6,22)),"Baseline 3","Other"))))))</f>
        <v>Other</v>
      </c>
    </row>
    <row r="92" customFormat="false" ht="15" hidden="false" customHeight="true" outlineLevel="0" collapsed="false">
      <c r="A92" s="12" t="n">
        <v>41728</v>
      </c>
      <c r="B92" s="13" t="n">
        <v>163865.490272704</v>
      </c>
      <c r="C92" s="13" t="n">
        <v>160525.426877714</v>
      </c>
      <c r="D92" s="14" t="n">
        <v>4791</v>
      </c>
      <c r="E92" s="15" t="n">
        <f aca="false">B92/D92</f>
        <v>34.2027740080785</v>
      </c>
      <c r="F92" s="15" t="n">
        <f aca="false">C92/D92</f>
        <v>33.5056203042609</v>
      </c>
      <c r="G92" s="13" t="n">
        <f aca="false">B92-C92</f>
        <v>3340.06339498999</v>
      </c>
      <c r="H92" s="16" t="n">
        <f aca="false">G92/B92</f>
        <v>0.0203829579335556</v>
      </c>
      <c r="I92" s="15" t="n">
        <f aca="false">G92/D92</f>
        <v>0.697153703817573</v>
      </c>
      <c r="J92" s="16" t="n">
        <f aca="false">I92/E92</f>
        <v>0.0203829579335556</v>
      </c>
      <c r="K92" s="17" t="str">
        <f aca="false">TEXT(A92,"dddd")</f>
        <v>Sunday</v>
      </c>
      <c r="L92" s="17" t="str">
        <f aca="false">IF(AND(A92&gt;=DATE(2014,9,24),A92&lt;=DATE(2014,10,6)),"Promo 1",IF(AND(A92&gt;=DATE(2014,9,10),A92&lt;=DATE(2014,9,23)),"Baseline 1",IF(AND(A92&gt;=DATE(2015,9,23),A92&lt;=DATE(2015,10,6)),"Promo 2",IF(AND(A92&gt;=DATE(2015,9,9),A92&lt;=DATE(2015,9,22)),"Baseline 2",IF(AND(A92&gt;=DATE(2016,6,23),A92&lt;=DATE(2016,7,6)),"Promo 3",IF(AND(A92&gt;=DATE(2016,6,9),A92&lt;=DATE(2016,6,22)),"Baseline 3","Other"))))))</f>
        <v>Other</v>
      </c>
    </row>
    <row r="93" customFormat="false" ht="15" hidden="false" customHeight="true" outlineLevel="0" collapsed="false">
      <c r="A93" s="12" t="n">
        <v>41729</v>
      </c>
      <c r="B93" s="13" t="n">
        <v>190719.6145286</v>
      </c>
      <c r="C93" s="13" t="n">
        <v>187072.595229938</v>
      </c>
      <c r="D93" s="14" t="n">
        <v>5583</v>
      </c>
      <c r="E93" s="15" t="n">
        <f aca="false">B93/D93</f>
        <v>34.1607763798316</v>
      </c>
      <c r="F93" s="15" t="n">
        <f aca="false">C93/D93</f>
        <v>33.5075398943109</v>
      </c>
      <c r="G93" s="13" t="n">
        <f aca="false">B93-C93</f>
        <v>3647.01929866202</v>
      </c>
      <c r="H93" s="16" t="n">
        <f aca="false">G93/B93</f>
        <v>0.0191224133274196</v>
      </c>
      <c r="I93" s="15" t="n">
        <f aca="false">G93/D93</f>
        <v>0.653236485520692</v>
      </c>
      <c r="J93" s="16" t="n">
        <f aca="false">I93/E93</f>
        <v>0.0191224133274196</v>
      </c>
      <c r="K93" s="17" t="str">
        <f aca="false">TEXT(A93,"dddd")</f>
        <v>Monday</v>
      </c>
      <c r="L93" s="17" t="str">
        <f aca="false">IF(AND(A93&gt;=DATE(2014,9,24),A93&lt;=DATE(2014,10,6)),"Promo 1",IF(AND(A93&gt;=DATE(2014,9,10),A93&lt;=DATE(2014,9,23)),"Baseline 1",IF(AND(A93&gt;=DATE(2015,9,23),A93&lt;=DATE(2015,10,6)),"Promo 2",IF(AND(A93&gt;=DATE(2015,9,9),A93&lt;=DATE(2015,9,22)),"Baseline 2",IF(AND(A93&gt;=DATE(2016,6,23),A93&lt;=DATE(2016,7,6)),"Promo 3",IF(AND(A93&gt;=DATE(2016,6,9),A93&lt;=DATE(2016,6,22)),"Baseline 3","Other"))))))</f>
        <v>Other</v>
      </c>
    </row>
    <row r="94" customFormat="false" ht="15" hidden="false" customHeight="true" outlineLevel="0" collapsed="false">
      <c r="A94" s="12" t="n">
        <v>41730</v>
      </c>
      <c r="B94" s="13" t="n">
        <v>244535.205225464</v>
      </c>
      <c r="C94" s="13" t="n">
        <v>239700.684797599</v>
      </c>
      <c r="D94" s="14" t="n">
        <v>7155</v>
      </c>
      <c r="E94" s="15" t="n">
        <f aca="false">B94/D94</f>
        <v>34.1768281237546</v>
      </c>
      <c r="F94" s="15" t="n">
        <f aca="false">C94/D94</f>
        <v>33.501143926988</v>
      </c>
      <c r="G94" s="13" t="n">
        <f aca="false">B94-C94</f>
        <v>4834.52042786498</v>
      </c>
      <c r="H94" s="16" t="n">
        <f aca="false">G94/B94</f>
        <v>0.0197702429938769</v>
      </c>
      <c r="I94" s="15" t="n">
        <f aca="false">G94/D94</f>
        <v>0.675684196766593</v>
      </c>
      <c r="J94" s="16" t="n">
        <f aca="false">I94/E94</f>
        <v>0.0197702429938769</v>
      </c>
      <c r="K94" s="17" t="str">
        <f aca="false">TEXT(A94,"dddd")</f>
        <v>Tuesday</v>
      </c>
      <c r="L94" s="17" t="str">
        <f aca="false">IF(AND(A94&gt;=DATE(2014,9,24),A94&lt;=DATE(2014,10,6)),"Promo 1",IF(AND(A94&gt;=DATE(2014,9,10),A94&lt;=DATE(2014,9,23)),"Baseline 1",IF(AND(A94&gt;=DATE(2015,9,23),A94&lt;=DATE(2015,10,6)),"Promo 2",IF(AND(A94&gt;=DATE(2015,9,9),A94&lt;=DATE(2015,9,22)),"Baseline 2",IF(AND(A94&gt;=DATE(2016,6,23),A94&lt;=DATE(2016,7,6)),"Promo 3",IF(AND(A94&gt;=DATE(2016,6,9),A94&lt;=DATE(2016,6,22)),"Baseline 3","Other"))))))</f>
        <v>Other</v>
      </c>
    </row>
    <row r="95" customFormat="false" ht="15" hidden="false" customHeight="true" outlineLevel="0" collapsed="false">
      <c r="A95" s="12" t="n">
        <v>41731</v>
      </c>
      <c r="B95" s="13" t="n">
        <v>155620.503788828</v>
      </c>
      <c r="C95" s="13" t="n">
        <v>153366.018810552</v>
      </c>
      <c r="D95" s="14" t="n">
        <v>4575</v>
      </c>
      <c r="E95" s="15" t="n">
        <f aca="false">B95/D95</f>
        <v>34.0154106642247</v>
      </c>
      <c r="F95" s="15" t="n">
        <f aca="false">C95/D95</f>
        <v>33.5226270624157</v>
      </c>
      <c r="G95" s="13" t="n">
        <f aca="false">B95-C95</f>
        <v>2254.48497827601</v>
      </c>
      <c r="H95" s="16" t="n">
        <f aca="false">G95/B95</f>
        <v>0.0144870690133177</v>
      </c>
      <c r="I95" s="15" t="n">
        <f aca="false">G95/D95</f>
        <v>0.492783601808965</v>
      </c>
      <c r="J95" s="16" t="n">
        <f aca="false">I95/E95</f>
        <v>0.0144870690133177</v>
      </c>
      <c r="K95" s="17" t="str">
        <f aca="false">TEXT(A95,"dddd")</f>
        <v>Wednesday</v>
      </c>
      <c r="L95" s="17" t="str">
        <f aca="false">IF(AND(A95&gt;=DATE(2014,9,24),A95&lt;=DATE(2014,10,6)),"Promo 1",IF(AND(A95&gt;=DATE(2014,9,10),A95&lt;=DATE(2014,9,23)),"Baseline 1",IF(AND(A95&gt;=DATE(2015,9,23),A95&lt;=DATE(2015,10,6)),"Promo 2",IF(AND(A95&gt;=DATE(2015,9,9),A95&lt;=DATE(2015,9,22)),"Baseline 2",IF(AND(A95&gt;=DATE(2016,6,23),A95&lt;=DATE(2016,7,6)),"Promo 3",IF(AND(A95&gt;=DATE(2016,6,9),A95&lt;=DATE(2016,6,22)),"Baseline 3","Other"))))))</f>
        <v>Other</v>
      </c>
    </row>
    <row r="96" customFormat="false" ht="15" hidden="false" customHeight="true" outlineLevel="0" collapsed="false">
      <c r="A96" s="12" t="n">
        <v>41732</v>
      </c>
      <c r="B96" s="13" t="n">
        <v>136001.978160077</v>
      </c>
      <c r="C96" s="13" t="n">
        <v>134523.06863372</v>
      </c>
      <c r="D96" s="14" t="n">
        <v>3997</v>
      </c>
      <c r="E96" s="15" t="n">
        <f aca="false">B96/D96</f>
        <v>34.0260140505572</v>
      </c>
      <c r="F96" s="15" t="n">
        <f aca="false">C96/D96</f>
        <v>33.656009165304</v>
      </c>
      <c r="G96" s="13" t="n">
        <f aca="false">B96-C96</f>
        <v>1478.90952635702</v>
      </c>
      <c r="H96" s="16" t="n">
        <f aca="false">G96/B96</f>
        <v>0.0108741765845223</v>
      </c>
      <c r="I96" s="15" t="n">
        <f aca="false">G96/D96</f>
        <v>0.370004885253195</v>
      </c>
      <c r="J96" s="16" t="n">
        <f aca="false">I96/E96</f>
        <v>0.0108741765845223</v>
      </c>
      <c r="K96" s="17" t="str">
        <f aca="false">TEXT(A96,"dddd")</f>
        <v>Thursday</v>
      </c>
      <c r="L96" s="17" t="str">
        <f aca="false">IF(AND(A96&gt;=DATE(2014,9,24),A96&lt;=DATE(2014,10,6)),"Promo 1",IF(AND(A96&gt;=DATE(2014,9,10),A96&lt;=DATE(2014,9,23)),"Baseline 1",IF(AND(A96&gt;=DATE(2015,9,23),A96&lt;=DATE(2015,10,6)),"Promo 2",IF(AND(A96&gt;=DATE(2015,9,9),A96&lt;=DATE(2015,9,22)),"Baseline 2",IF(AND(A96&gt;=DATE(2016,6,23),A96&lt;=DATE(2016,7,6)),"Promo 3",IF(AND(A96&gt;=DATE(2016,6,9),A96&lt;=DATE(2016,6,22)),"Baseline 3","Other"))))))</f>
        <v>Other</v>
      </c>
    </row>
    <row r="97" customFormat="false" ht="15" hidden="false" customHeight="true" outlineLevel="0" collapsed="false">
      <c r="A97" s="12" t="n">
        <v>41733</v>
      </c>
      <c r="B97" s="13" t="n">
        <v>190559.887512767</v>
      </c>
      <c r="C97" s="13" t="n">
        <v>187742.300011753</v>
      </c>
      <c r="D97" s="14" t="n">
        <v>5558</v>
      </c>
      <c r="E97" s="15" t="n">
        <f aca="false">B97/D97</f>
        <v>34.2856940469174</v>
      </c>
      <c r="F97" s="15" t="n">
        <f aca="false">C97/D97</f>
        <v>33.7787513515209</v>
      </c>
      <c r="G97" s="13" t="n">
        <f aca="false">B97-C97</f>
        <v>2817.587501014</v>
      </c>
      <c r="H97" s="16" t="n">
        <f aca="false">G97/B97</f>
        <v>0.0147858373437864</v>
      </c>
      <c r="I97" s="15" t="n">
        <f aca="false">G97/D97</f>
        <v>0.506942695396546</v>
      </c>
      <c r="J97" s="16" t="n">
        <f aca="false">I97/E97</f>
        <v>0.0147858373437864</v>
      </c>
      <c r="K97" s="17" t="str">
        <f aca="false">TEXT(A97,"dddd")</f>
        <v>Friday</v>
      </c>
      <c r="L97" s="17" t="str">
        <f aca="false">IF(AND(A97&gt;=DATE(2014,9,24),A97&lt;=DATE(2014,10,6)),"Promo 1",IF(AND(A97&gt;=DATE(2014,9,10),A97&lt;=DATE(2014,9,23)),"Baseline 1",IF(AND(A97&gt;=DATE(2015,9,23),A97&lt;=DATE(2015,10,6)),"Promo 2",IF(AND(A97&gt;=DATE(2015,9,9),A97&lt;=DATE(2015,9,22)),"Baseline 2",IF(AND(A97&gt;=DATE(2016,6,23),A97&lt;=DATE(2016,7,6)),"Promo 3",IF(AND(A97&gt;=DATE(2016,6,9),A97&lt;=DATE(2016,6,22)),"Baseline 3","Other"))))))</f>
        <v>Other</v>
      </c>
    </row>
    <row r="98" customFormat="false" ht="15" hidden="false" customHeight="true" outlineLevel="0" collapsed="false">
      <c r="A98" s="12" t="n">
        <v>41734</v>
      </c>
      <c r="B98" s="13" t="n">
        <v>217110.502529121</v>
      </c>
      <c r="C98" s="13" t="n">
        <v>213540.734184194</v>
      </c>
      <c r="D98" s="14" t="n">
        <v>6320</v>
      </c>
      <c r="E98" s="15" t="n">
        <f aca="false">B98/D98</f>
        <v>34.3529276153673</v>
      </c>
      <c r="F98" s="15" t="n">
        <f aca="false">C98/D98</f>
        <v>33.7880908519294</v>
      </c>
      <c r="G98" s="13" t="n">
        <f aca="false">B98-C98</f>
        <v>3569.768344927</v>
      </c>
      <c r="H98" s="16" t="n">
        <f aca="false">G98/B98</f>
        <v>0.0164421725496591</v>
      </c>
      <c r="I98" s="15" t="n">
        <f aca="false">G98/D98</f>
        <v>0.564836763437816</v>
      </c>
      <c r="J98" s="16" t="n">
        <f aca="false">I98/E98</f>
        <v>0.0164421725496591</v>
      </c>
      <c r="K98" s="17" t="str">
        <f aca="false">TEXT(A98,"dddd")</f>
        <v>Saturday</v>
      </c>
      <c r="L98" s="17" t="str">
        <f aca="false">IF(AND(A98&gt;=DATE(2014,9,24),A98&lt;=DATE(2014,10,6)),"Promo 1",IF(AND(A98&gt;=DATE(2014,9,10),A98&lt;=DATE(2014,9,23)),"Baseline 1",IF(AND(A98&gt;=DATE(2015,9,23),A98&lt;=DATE(2015,10,6)),"Promo 2",IF(AND(A98&gt;=DATE(2015,9,9),A98&lt;=DATE(2015,9,22)),"Baseline 2",IF(AND(A98&gt;=DATE(2016,6,23),A98&lt;=DATE(2016,7,6)),"Promo 3",IF(AND(A98&gt;=DATE(2016,6,9),A98&lt;=DATE(2016,6,22)),"Baseline 3","Other"))))))</f>
        <v>Other</v>
      </c>
    </row>
    <row r="99" customFormat="false" ht="15" hidden="false" customHeight="true" outlineLevel="0" collapsed="false">
      <c r="A99" s="12" t="n">
        <v>41735</v>
      </c>
      <c r="B99" s="13" t="n">
        <v>119190.099982556</v>
      </c>
      <c r="C99" s="13" t="n">
        <v>116856.314613416</v>
      </c>
      <c r="D99" s="14" t="n">
        <v>3447</v>
      </c>
      <c r="E99" s="15" t="n">
        <f aca="false">B99/D99</f>
        <v>34.577922826387</v>
      </c>
      <c r="F99" s="15" t="n">
        <f aca="false">C99/D99</f>
        <v>33.9008745614784</v>
      </c>
      <c r="G99" s="13" t="n">
        <f aca="false">B99-C99</f>
        <v>2333.78536913999</v>
      </c>
      <c r="H99" s="16" t="n">
        <f aca="false">G99/B99</f>
        <v>0.0195803625425396</v>
      </c>
      <c r="I99" s="15" t="n">
        <f aca="false">G99/D99</f>
        <v>0.677048264908615</v>
      </c>
      <c r="J99" s="16" t="n">
        <f aca="false">I99/E99</f>
        <v>0.0195803625425396</v>
      </c>
      <c r="K99" s="17" t="str">
        <f aca="false">TEXT(A99,"dddd")</f>
        <v>Sunday</v>
      </c>
      <c r="L99" s="17" t="str">
        <f aca="false">IF(AND(A99&gt;=DATE(2014,9,24),A99&lt;=DATE(2014,10,6)),"Promo 1",IF(AND(A99&gt;=DATE(2014,9,10),A99&lt;=DATE(2014,9,23)),"Baseline 1",IF(AND(A99&gt;=DATE(2015,9,23),A99&lt;=DATE(2015,10,6)),"Promo 2",IF(AND(A99&gt;=DATE(2015,9,9),A99&lt;=DATE(2015,9,22)),"Baseline 2",IF(AND(A99&gt;=DATE(2016,6,23),A99&lt;=DATE(2016,7,6)),"Promo 3",IF(AND(A99&gt;=DATE(2016,6,9),A99&lt;=DATE(2016,6,22)),"Baseline 3","Other"))))))</f>
        <v>Other</v>
      </c>
    </row>
    <row r="100" customFormat="false" ht="15" hidden="false" customHeight="true" outlineLevel="0" collapsed="false">
      <c r="A100" s="12" t="n">
        <v>41736</v>
      </c>
      <c r="B100" s="13" t="n">
        <v>131910.197451532</v>
      </c>
      <c r="C100" s="13" t="n">
        <v>130784.444709065</v>
      </c>
      <c r="D100" s="14" t="n">
        <v>3854</v>
      </c>
      <c r="E100" s="15" t="n">
        <f aca="false">B100/D100</f>
        <v>34.22682860704</v>
      </c>
      <c r="F100" s="15" t="n">
        <f aca="false">C100/D100</f>
        <v>33.9347287776505</v>
      </c>
      <c r="G100" s="13" t="n">
        <f aca="false">B100-C100</f>
        <v>1125.752742467</v>
      </c>
      <c r="H100" s="16" t="n">
        <f aca="false">G100/B100</f>
        <v>0.00853423589848415</v>
      </c>
      <c r="I100" s="15" t="n">
        <f aca="false">G100/D100</f>
        <v>0.292099829389465</v>
      </c>
      <c r="J100" s="16" t="n">
        <f aca="false">I100/E100</f>
        <v>0.00853423589848415</v>
      </c>
      <c r="K100" s="17" t="str">
        <f aca="false">TEXT(A100,"dddd")</f>
        <v>Monday</v>
      </c>
      <c r="L100" s="17" t="str">
        <f aca="false">IF(AND(A100&gt;=DATE(2014,9,24),A100&lt;=DATE(2014,10,6)),"Promo 1",IF(AND(A100&gt;=DATE(2014,9,10),A100&lt;=DATE(2014,9,23)),"Baseline 1",IF(AND(A100&gt;=DATE(2015,9,23),A100&lt;=DATE(2015,10,6)),"Promo 2",IF(AND(A100&gt;=DATE(2015,9,9),A100&lt;=DATE(2015,9,22)),"Baseline 2",IF(AND(A100&gt;=DATE(2016,6,23),A100&lt;=DATE(2016,7,6)),"Promo 3",IF(AND(A100&gt;=DATE(2016,6,9),A100&lt;=DATE(2016,6,22)),"Baseline 3","Other"))))))</f>
        <v>Other</v>
      </c>
    </row>
    <row r="101" customFormat="false" ht="15" hidden="false" customHeight="true" outlineLevel="0" collapsed="false">
      <c r="A101" s="12" t="n">
        <v>41737</v>
      </c>
      <c r="B101" s="13" t="n">
        <v>118921.307676259</v>
      </c>
      <c r="C101" s="13" t="n">
        <v>115305.805185446</v>
      </c>
      <c r="D101" s="14" t="n">
        <v>3394</v>
      </c>
      <c r="E101" s="15" t="n">
        <f aca="false">B101/D101</f>
        <v>35.0386881780374</v>
      </c>
      <c r="F101" s="15" t="n">
        <f aca="false">C101/D101</f>
        <v>33.97342521669</v>
      </c>
      <c r="G101" s="13" t="n">
        <f aca="false">B101-C101</f>
        <v>3615.502490813</v>
      </c>
      <c r="H101" s="16" t="n">
        <f aca="false">G101/B101</f>
        <v>0.0304024784242663</v>
      </c>
      <c r="I101" s="15" t="n">
        <f aca="false">G101/D101</f>
        <v>1.06526296134738</v>
      </c>
      <c r="J101" s="16" t="n">
        <f aca="false">I101/E101</f>
        <v>0.0304024784242663</v>
      </c>
      <c r="K101" s="17" t="str">
        <f aca="false">TEXT(A101,"dddd")</f>
        <v>Tuesday</v>
      </c>
      <c r="L101" s="17" t="str">
        <f aca="false">IF(AND(A101&gt;=DATE(2014,9,24),A101&lt;=DATE(2014,10,6)),"Promo 1",IF(AND(A101&gt;=DATE(2014,9,10),A101&lt;=DATE(2014,9,23)),"Baseline 1",IF(AND(A101&gt;=DATE(2015,9,23),A101&lt;=DATE(2015,10,6)),"Promo 2",IF(AND(A101&gt;=DATE(2015,9,9),A101&lt;=DATE(2015,9,22)),"Baseline 2",IF(AND(A101&gt;=DATE(2016,6,23),A101&lt;=DATE(2016,7,6)),"Promo 3",IF(AND(A101&gt;=DATE(2016,6,9),A101&lt;=DATE(2016,6,22)),"Baseline 3","Other"))))))</f>
        <v>Other</v>
      </c>
    </row>
    <row r="102" customFormat="false" ht="15" hidden="false" customHeight="true" outlineLevel="0" collapsed="false">
      <c r="A102" s="12" t="n">
        <v>41738</v>
      </c>
      <c r="B102" s="13" t="n">
        <v>124828.282836809</v>
      </c>
      <c r="C102" s="13" t="n">
        <v>121264.703118163</v>
      </c>
      <c r="D102" s="14" t="n">
        <v>3563</v>
      </c>
      <c r="E102" s="15" t="n">
        <f aca="false">B102/D102</f>
        <v>35.034600852318</v>
      </c>
      <c r="F102" s="15" t="n">
        <f aca="false">C102/D102</f>
        <v>34.0344381471128</v>
      </c>
      <c r="G102" s="13" t="n">
        <f aca="false">B102-C102</f>
        <v>3563.579718646</v>
      </c>
      <c r="H102" s="16" t="n">
        <f aca="false">G102/B102</f>
        <v>0.0285478550025778</v>
      </c>
      <c r="I102" s="15" t="n">
        <f aca="false">G102/D102</f>
        <v>1.00016270520516</v>
      </c>
      <c r="J102" s="16" t="n">
        <f aca="false">I102/E102</f>
        <v>0.0285478550025778</v>
      </c>
      <c r="K102" s="17" t="str">
        <f aca="false">TEXT(A102,"dddd")</f>
        <v>Wednesday</v>
      </c>
      <c r="L102" s="17" t="str">
        <f aca="false">IF(AND(A102&gt;=DATE(2014,9,24),A102&lt;=DATE(2014,10,6)),"Promo 1",IF(AND(A102&gt;=DATE(2014,9,10),A102&lt;=DATE(2014,9,23)),"Baseline 1",IF(AND(A102&gt;=DATE(2015,9,23),A102&lt;=DATE(2015,10,6)),"Promo 2",IF(AND(A102&gt;=DATE(2015,9,9),A102&lt;=DATE(2015,9,22)),"Baseline 2",IF(AND(A102&gt;=DATE(2016,6,23),A102&lt;=DATE(2016,7,6)),"Promo 3",IF(AND(A102&gt;=DATE(2016,6,9),A102&lt;=DATE(2016,6,22)),"Baseline 3","Other"))))))</f>
        <v>Other</v>
      </c>
    </row>
    <row r="103" customFormat="false" ht="15" hidden="false" customHeight="true" outlineLevel="0" collapsed="false">
      <c r="A103" s="12" t="n">
        <v>41739</v>
      </c>
      <c r="B103" s="13" t="n">
        <v>179326.490228096</v>
      </c>
      <c r="C103" s="13" t="n">
        <v>183278.502426986</v>
      </c>
      <c r="D103" s="14" t="n">
        <v>5380</v>
      </c>
      <c r="E103" s="15" t="n">
        <f aca="false">B103/D103</f>
        <v>33.332061380687</v>
      </c>
      <c r="F103" s="15" t="n">
        <f aca="false">C103/D103</f>
        <v>34.066636138845</v>
      </c>
      <c r="G103" s="13" t="n">
        <f aca="false">B103-C103</f>
        <v>-3952.01219889001</v>
      </c>
      <c r="H103" s="16" t="n">
        <f aca="false">G103/B103</f>
        <v>-0.0220380836867058</v>
      </c>
      <c r="I103" s="15" t="n">
        <f aca="false">G103/D103</f>
        <v>-0.734574758157994</v>
      </c>
      <c r="J103" s="16" t="n">
        <f aca="false">I103/E103</f>
        <v>-0.0220380836867058</v>
      </c>
      <c r="K103" s="17" t="str">
        <f aca="false">TEXT(A103,"dddd")</f>
        <v>Thursday</v>
      </c>
      <c r="L103" s="17" t="str">
        <f aca="false">IF(AND(A103&gt;=DATE(2014,9,24),A103&lt;=DATE(2014,10,6)),"Promo 1",IF(AND(A103&gt;=DATE(2014,9,10),A103&lt;=DATE(2014,9,23)),"Baseline 1",IF(AND(A103&gt;=DATE(2015,9,23),A103&lt;=DATE(2015,10,6)),"Promo 2",IF(AND(A103&gt;=DATE(2015,9,9),A103&lt;=DATE(2015,9,22)),"Baseline 2",IF(AND(A103&gt;=DATE(2016,6,23),A103&lt;=DATE(2016,7,6)),"Promo 3",IF(AND(A103&gt;=DATE(2016,6,9),A103&lt;=DATE(2016,6,22)),"Baseline 3","Other"))))))</f>
        <v>Other</v>
      </c>
    </row>
    <row r="104" customFormat="false" ht="15" hidden="false" customHeight="true" outlineLevel="0" collapsed="false">
      <c r="A104" s="12" t="n">
        <v>41740</v>
      </c>
      <c r="B104" s="13" t="n">
        <v>318949.81705616</v>
      </c>
      <c r="C104" s="13" t="n">
        <v>326322.52601226</v>
      </c>
      <c r="D104" s="14" t="n">
        <v>9573</v>
      </c>
      <c r="E104" s="15" t="n">
        <f aca="false">B104/D104</f>
        <v>33.3176451536781</v>
      </c>
      <c r="F104" s="15" t="n">
        <f aca="false">C104/D104</f>
        <v>34.0878017353244</v>
      </c>
      <c r="G104" s="13" t="n">
        <f aca="false">B104-C104</f>
        <v>-7372.70895609999</v>
      </c>
      <c r="H104" s="16" t="n">
        <f aca="false">G104/B104</f>
        <v>-0.0231155766889868</v>
      </c>
      <c r="I104" s="15" t="n">
        <f aca="false">G104/D104</f>
        <v>-0.770156581646296</v>
      </c>
      <c r="J104" s="16" t="n">
        <f aca="false">I104/E104</f>
        <v>-0.0231155766889868</v>
      </c>
      <c r="K104" s="17" t="str">
        <f aca="false">TEXT(A104,"dddd")</f>
        <v>Friday</v>
      </c>
      <c r="L104" s="17" t="str">
        <f aca="false">IF(AND(A104&gt;=DATE(2014,9,24),A104&lt;=DATE(2014,10,6)),"Promo 1",IF(AND(A104&gt;=DATE(2014,9,10),A104&lt;=DATE(2014,9,23)),"Baseline 1",IF(AND(A104&gt;=DATE(2015,9,23),A104&lt;=DATE(2015,10,6)),"Promo 2",IF(AND(A104&gt;=DATE(2015,9,9),A104&lt;=DATE(2015,9,22)),"Baseline 2",IF(AND(A104&gt;=DATE(2016,6,23),A104&lt;=DATE(2016,7,6)),"Promo 3",IF(AND(A104&gt;=DATE(2016,6,9),A104&lt;=DATE(2016,6,22)),"Baseline 3","Other"))))))</f>
        <v>Other</v>
      </c>
    </row>
    <row r="105" customFormat="false" ht="15" hidden="false" customHeight="true" outlineLevel="0" collapsed="false">
      <c r="A105" s="12" t="n">
        <v>41741</v>
      </c>
      <c r="B105" s="13" t="n">
        <v>375031.109322689</v>
      </c>
      <c r="C105" s="13" t="n">
        <v>383727.194012924</v>
      </c>
      <c r="D105" s="14" t="n">
        <v>11250</v>
      </c>
      <c r="E105" s="15" t="n">
        <f aca="false">B105/D105</f>
        <v>33.3360986064612</v>
      </c>
      <c r="F105" s="15" t="n">
        <f aca="false">C105/D105</f>
        <v>34.1090839122599</v>
      </c>
      <c r="G105" s="13" t="n">
        <f aca="false">B105-C105</f>
        <v>-8696.08469023497</v>
      </c>
      <c r="H105" s="16" t="n">
        <f aca="false">G105/B105</f>
        <v>-0.0231876355695937</v>
      </c>
      <c r="I105" s="15" t="n">
        <f aca="false">G105/D105</f>
        <v>-0.772985305798664</v>
      </c>
      <c r="J105" s="16" t="n">
        <f aca="false">I105/E105</f>
        <v>-0.0231876355695937</v>
      </c>
      <c r="K105" s="17" t="str">
        <f aca="false">TEXT(A105,"dddd")</f>
        <v>Saturday</v>
      </c>
      <c r="L105" s="17" t="str">
        <f aca="false">IF(AND(A105&gt;=DATE(2014,9,24),A105&lt;=DATE(2014,10,6)),"Promo 1",IF(AND(A105&gt;=DATE(2014,9,10),A105&lt;=DATE(2014,9,23)),"Baseline 1",IF(AND(A105&gt;=DATE(2015,9,23),A105&lt;=DATE(2015,10,6)),"Promo 2",IF(AND(A105&gt;=DATE(2015,9,9),A105&lt;=DATE(2015,9,22)),"Baseline 2",IF(AND(A105&gt;=DATE(2016,6,23),A105&lt;=DATE(2016,7,6)),"Promo 3",IF(AND(A105&gt;=DATE(2016,6,9),A105&lt;=DATE(2016,6,22)),"Baseline 3","Other"))))))</f>
        <v>Other</v>
      </c>
    </row>
    <row r="106" customFormat="false" ht="15" hidden="false" customHeight="true" outlineLevel="0" collapsed="false">
      <c r="A106" s="12" t="n">
        <v>41742</v>
      </c>
      <c r="B106" s="13" t="n">
        <v>166393.540705273</v>
      </c>
      <c r="C106" s="13" t="n">
        <v>170061.864146523</v>
      </c>
      <c r="D106" s="14" t="n">
        <v>4990</v>
      </c>
      <c r="E106" s="15" t="n">
        <f aca="false">B106/D106</f>
        <v>33.3453989389325</v>
      </c>
      <c r="F106" s="15" t="n">
        <f aca="false">C106/D106</f>
        <v>34.0805338970988</v>
      </c>
      <c r="G106" s="13" t="n">
        <f aca="false">B106-C106</f>
        <v>-3668.32344125002</v>
      </c>
      <c r="H106" s="16" t="n">
        <f aca="false">G106/B106</f>
        <v>-0.0220460687698664</v>
      </c>
      <c r="I106" s="15" t="n">
        <f aca="false">G106/D106</f>
        <v>-0.735134958166336</v>
      </c>
      <c r="J106" s="16" t="n">
        <f aca="false">I106/E106</f>
        <v>-0.0220460687698664</v>
      </c>
      <c r="K106" s="17" t="str">
        <f aca="false">TEXT(A106,"dddd")</f>
        <v>Sunday</v>
      </c>
      <c r="L106" s="17" t="str">
        <f aca="false">IF(AND(A106&gt;=DATE(2014,9,24),A106&lt;=DATE(2014,10,6)),"Promo 1",IF(AND(A106&gt;=DATE(2014,9,10),A106&lt;=DATE(2014,9,23)),"Baseline 1",IF(AND(A106&gt;=DATE(2015,9,23),A106&lt;=DATE(2015,10,6)),"Promo 2",IF(AND(A106&gt;=DATE(2015,9,9),A106&lt;=DATE(2015,9,22)),"Baseline 2",IF(AND(A106&gt;=DATE(2016,6,23),A106&lt;=DATE(2016,7,6)),"Promo 3",IF(AND(A106&gt;=DATE(2016,6,9),A106&lt;=DATE(2016,6,22)),"Baseline 3","Other"))))))</f>
        <v>Other</v>
      </c>
    </row>
    <row r="107" customFormat="false" ht="15" hidden="false" customHeight="true" outlineLevel="0" collapsed="false">
      <c r="A107" s="12" t="n">
        <v>41743</v>
      </c>
      <c r="B107" s="13" t="n">
        <v>193652.327767829</v>
      </c>
      <c r="C107" s="13" t="n">
        <v>198212.068729968</v>
      </c>
      <c r="D107" s="14" t="n">
        <v>5810</v>
      </c>
      <c r="E107" s="15" t="n">
        <f aca="false">B107/D107</f>
        <v>33.3308653645145</v>
      </c>
      <c r="F107" s="15" t="n">
        <f aca="false">C107/D107</f>
        <v>34.115674480201</v>
      </c>
      <c r="G107" s="13" t="n">
        <f aca="false">B107-C107</f>
        <v>-4559.74096213901</v>
      </c>
      <c r="H107" s="16" t="n">
        <f aca="false">G107/B107</f>
        <v>-0.0235460167956551</v>
      </c>
      <c r="I107" s="15" t="n">
        <f aca="false">G107/D107</f>
        <v>-0.784809115686577</v>
      </c>
      <c r="J107" s="16" t="n">
        <f aca="false">I107/E107</f>
        <v>-0.0235460167956551</v>
      </c>
      <c r="K107" s="17" t="str">
        <f aca="false">TEXT(A107,"dddd")</f>
        <v>Monday</v>
      </c>
      <c r="L107" s="17" t="str">
        <f aca="false">IF(AND(A107&gt;=DATE(2014,9,24),A107&lt;=DATE(2014,10,6)),"Promo 1",IF(AND(A107&gt;=DATE(2014,9,10),A107&lt;=DATE(2014,9,23)),"Baseline 1",IF(AND(A107&gt;=DATE(2015,9,23),A107&lt;=DATE(2015,10,6)),"Promo 2",IF(AND(A107&gt;=DATE(2015,9,9),A107&lt;=DATE(2015,9,22)),"Baseline 2",IF(AND(A107&gt;=DATE(2016,6,23),A107&lt;=DATE(2016,7,6)),"Promo 3",IF(AND(A107&gt;=DATE(2016,6,9),A107&lt;=DATE(2016,6,22)),"Baseline 3","Other"))))))</f>
        <v>Other</v>
      </c>
    </row>
    <row r="108" customFormat="false" ht="15" hidden="false" customHeight="true" outlineLevel="0" collapsed="false">
      <c r="A108" s="12" t="n">
        <v>41744</v>
      </c>
      <c r="B108" s="13" t="n">
        <v>249805.517213491</v>
      </c>
      <c r="C108" s="13" t="n">
        <v>255956.654035289</v>
      </c>
      <c r="D108" s="14" t="n">
        <v>7497</v>
      </c>
      <c r="E108" s="15" t="n">
        <f aca="false">B108/D108</f>
        <v>33.3207305873671</v>
      </c>
      <c r="F108" s="15" t="n">
        <f aca="false">C108/D108</f>
        <v>34.1412103555141</v>
      </c>
      <c r="G108" s="13" t="n">
        <f aca="false">B108-C108</f>
        <v>-6151.13682179799</v>
      </c>
      <c r="H108" s="16" t="n">
        <f aca="false">G108/B108</f>
        <v>-0.0246237028325561</v>
      </c>
      <c r="I108" s="15" t="n">
        <f aca="false">G108/D108</f>
        <v>-0.820479768146991</v>
      </c>
      <c r="J108" s="16" t="n">
        <f aca="false">I108/E108</f>
        <v>-0.0246237028325561</v>
      </c>
      <c r="K108" s="17" t="str">
        <f aca="false">TEXT(A108,"dddd")</f>
        <v>Tuesday</v>
      </c>
      <c r="L108" s="17" t="str">
        <f aca="false">IF(AND(A108&gt;=DATE(2014,9,24),A108&lt;=DATE(2014,10,6)),"Promo 1",IF(AND(A108&gt;=DATE(2014,9,10),A108&lt;=DATE(2014,9,23)),"Baseline 1",IF(AND(A108&gt;=DATE(2015,9,23),A108&lt;=DATE(2015,10,6)),"Promo 2",IF(AND(A108&gt;=DATE(2015,9,9),A108&lt;=DATE(2015,9,22)),"Baseline 2",IF(AND(A108&gt;=DATE(2016,6,23),A108&lt;=DATE(2016,7,6)),"Promo 3",IF(AND(A108&gt;=DATE(2016,6,9),A108&lt;=DATE(2016,6,22)),"Baseline 3","Other"))))))</f>
        <v>Other</v>
      </c>
    </row>
    <row r="109" customFormat="false" ht="15" hidden="false" customHeight="true" outlineLevel="0" collapsed="false">
      <c r="A109" s="12" t="n">
        <v>41745</v>
      </c>
      <c r="B109" s="13" t="n">
        <v>294023.41088805</v>
      </c>
      <c r="C109" s="13" t="n">
        <v>301522.352254371</v>
      </c>
      <c r="D109" s="14" t="n">
        <v>8821</v>
      </c>
      <c r="E109" s="15" t="n">
        <f aca="false">B109/D109</f>
        <v>33.3322084670729</v>
      </c>
      <c r="F109" s="15" t="n">
        <f aca="false">C109/D109</f>
        <v>34.1823321907234</v>
      </c>
      <c r="G109" s="13" t="n">
        <f aca="false">B109-C109</f>
        <v>-7498.941366321</v>
      </c>
      <c r="H109" s="16" t="n">
        <f aca="false">G109/B109</f>
        <v>-0.0255045723865037</v>
      </c>
      <c r="I109" s="15" t="n">
        <f aca="false">G109/D109</f>
        <v>-0.850123723650493</v>
      </c>
      <c r="J109" s="16" t="n">
        <f aca="false">I109/E109</f>
        <v>-0.0255045723865037</v>
      </c>
      <c r="K109" s="17" t="str">
        <f aca="false">TEXT(A109,"dddd")</f>
        <v>Wednesday</v>
      </c>
      <c r="L109" s="17" t="str">
        <f aca="false">IF(AND(A109&gt;=DATE(2014,9,24),A109&lt;=DATE(2014,10,6)),"Promo 1",IF(AND(A109&gt;=DATE(2014,9,10),A109&lt;=DATE(2014,9,23)),"Baseline 1",IF(AND(A109&gt;=DATE(2015,9,23),A109&lt;=DATE(2015,10,6)),"Promo 2",IF(AND(A109&gt;=DATE(2015,9,9),A109&lt;=DATE(2015,9,22)),"Baseline 2",IF(AND(A109&gt;=DATE(2016,6,23),A109&lt;=DATE(2016,7,6)),"Promo 3",IF(AND(A109&gt;=DATE(2016,6,9),A109&lt;=DATE(2016,6,22)),"Baseline 3","Other"))))))</f>
        <v>Other</v>
      </c>
    </row>
    <row r="110" customFormat="false" ht="15" hidden="false" customHeight="true" outlineLevel="0" collapsed="false">
      <c r="A110" s="12" t="n">
        <v>41746</v>
      </c>
      <c r="B110" s="13" t="n">
        <v>612236.005797238</v>
      </c>
      <c r="C110" s="13" t="n">
        <v>627927.75867339</v>
      </c>
      <c r="D110" s="14" t="n">
        <v>18366</v>
      </c>
      <c r="E110" s="15" t="n">
        <f aca="false">B110/D110</f>
        <v>33.3352937927278</v>
      </c>
      <c r="F110" s="15" t="n">
        <f aca="false">C110/D110</f>
        <v>34.1896852158004</v>
      </c>
      <c r="G110" s="13" t="n">
        <f aca="false">B110-C110</f>
        <v>-15691.7528761521</v>
      </c>
      <c r="H110" s="16" t="n">
        <f aca="false">G110/B110</f>
        <v>-0.025630235281113</v>
      </c>
      <c r="I110" s="15" t="n">
        <f aca="false">G110/D110</f>
        <v>-0.854391423072637</v>
      </c>
      <c r="J110" s="16" t="n">
        <f aca="false">I110/E110</f>
        <v>-0.025630235281113</v>
      </c>
      <c r="K110" s="17" t="str">
        <f aca="false">TEXT(A110,"dddd")</f>
        <v>Thursday</v>
      </c>
      <c r="L110" s="17" t="str">
        <f aca="false">IF(AND(A110&gt;=DATE(2014,9,24),A110&lt;=DATE(2014,10,6)),"Promo 1",IF(AND(A110&gt;=DATE(2014,9,10),A110&lt;=DATE(2014,9,23)),"Baseline 1",IF(AND(A110&gt;=DATE(2015,9,23),A110&lt;=DATE(2015,10,6)),"Promo 2",IF(AND(A110&gt;=DATE(2015,9,9),A110&lt;=DATE(2015,9,22)),"Baseline 2",IF(AND(A110&gt;=DATE(2016,6,23),A110&lt;=DATE(2016,7,6)),"Promo 3",IF(AND(A110&gt;=DATE(2016,6,9),A110&lt;=DATE(2016,6,22)),"Baseline 3","Other"))))))</f>
        <v>Other</v>
      </c>
    </row>
    <row r="111" customFormat="false" ht="15" hidden="false" customHeight="true" outlineLevel="0" collapsed="false">
      <c r="A111" s="12" t="n">
        <v>41747</v>
      </c>
      <c r="B111" s="13" t="n">
        <v>464815.517868547</v>
      </c>
      <c r="C111" s="13" t="n">
        <v>476692.543694409</v>
      </c>
      <c r="D111" s="14" t="n">
        <v>13940</v>
      </c>
      <c r="E111" s="15" t="n">
        <f aca="false">B111/D111</f>
        <v>33.3440113248599</v>
      </c>
      <c r="F111" s="15" t="n">
        <f aca="false">C111/D111</f>
        <v>34.1960217858256</v>
      </c>
      <c r="G111" s="13" t="n">
        <f aca="false">B111-C111</f>
        <v>-11877.025825862</v>
      </c>
      <c r="H111" s="16" t="n">
        <f aca="false">G111/B111</f>
        <v>-0.0255521284666338</v>
      </c>
      <c r="I111" s="15" t="n">
        <f aca="false">G111/D111</f>
        <v>-0.852010460965711</v>
      </c>
      <c r="J111" s="16" t="n">
        <f aca="false">I111/E111</f>
        <v>-0.0255521284666338</v>
      </c>
      <c r="K111" s="17" t="str">
        <f aca="false">TEXT(A111,"dddd")</f>
        <v>Friday</v>
      </c>
      <c r="L111" s="17" t="str">
        <f aca="false">IF(AND(A111&gt;=DATE(2014,9,24),A111&lt;=DATE(2014,10,6)),"Promo 1",IF(AND(A111&gt;=DATE(2014,9,10),A111&lt;=DATE(2014,9,23)),"Baseline 1",IF(AND(A111&gt;=DATE(2015,9,23),A111&lt;=DATE(2015,10,6)),"Promo 2",IF(AND(A111&gt;=DATE(2015,9,9),A111&lt;=DATE(2015,9,22)),"Baseline 2",IF(AND(A111&gt;=DATE(2016,6,23),A111&lt;=DATE(2016,7,6)),"Promo 3",IF(AND(A111&gt;=DATE(2016,6,9),A111&lt;=DATE(2016,6,22)),"Baseline 3","Other"))))))</f>
        <v>Other</v>
      </c>
    </row>
    <row r="112" customFormat="false" ht="15" hidden="false" customHeight="true" outlineLevel="0" collapsed="false">
      <c r="A112" s="12" t="n">
        <v>41748</v>
      </c>
      <c r="B112" s="13" t="n">
        <v>360480.940449538</v>
      </c>
      <c r="C112" s="13" t="n">
        <v>369765.612763225</v>
      </c>
      <c r="D112" s="14" t="n">
        <v>10814</v>
      </c>
      <c r="E112" s="15" t="n">
        <f aca="false">B112/D112</f>
        <v>33.3346532688679</v>
      </c>
      <c r="F112" s="15" t="n">
        <f aca="false">C112/D112</f>
        <v>34.1932321771061</v>
      </c>
      <c r="G112" s="13" t="n">
        <f aca="false">B112-C112</f>
        <v>-9284.67231368698</v>
      </c>
      <c r="H112" s="16" t="n">
        <f aca="false">G112/B112</f>
        <v>-0.0257563473456004</v>
      </c>
      <c r="I112" s="15" t="n">
        <f aca="false">G112/D112</f>
        <v>-0.858578908238116</v>
      </c>
      <c r="J112" s="16" t="n">
        <f aca="false">I112/E112</f>
        <v>-0.0257563473456004</v>
      </c>
      <c r="K112" s="17" t="str">
        <f aca="false">TEXT(A112,"dddd")</f>
        <v>Saturday</v>
      </c>
      <c r="L112" s="17" t="str">
        <f aca="false">IF(AND(A112&gt;=DATE(2014,9,24),A112&lt;=DATE(2014,10,6)),"Promo 1",IF(AND(A112&gt;=DATE(2014,9,10),A112&lt;=DATE(2014,9,23)),"Baseline 1",IF(AND(A112&gt;=DATE(2015,9,23),A112&lt;=DATE(2015,10,6)),"Promo 2",IF(AND(A112&gt;=DATE(2015,9,9),A112&lt;=DATE(2015,9,22)),"Baseline 2",IF(AND(A112&gt;=DATE(2016,6,23),A112&lt;=DATE(2016,7,6)),"Promo 3",IF(AND(A112&gt;=DATE(2016,6,9),A112&lt;=DATE(2016,6,22)),"Baseline 3","Other"))))))</f>
        <v>Other</v>
      </c>
    </row>
    <row r="113" customFormat="false" ht="15" hidden="false" customHeight="true" outlineLevel="0" collapsed="false">
      <c r="A113" s="12" t="n">
        <v>41749</v>
      </c>
      <c r="B113" s="13" t="n">
        <v>114279.57725377</v>
      </c>
      <c r="C113" s="13" t="n">
        <v>117190.826154167</v>
      </c>
      <c r="D113" s="14" t="n">
        <v>3429</v>
      </c>
      <c r="E113" s="15" t="n">
        <f aca="false">B113/D113</f>
        <v>33.3273774435025</v>
      </c>
      <c r="F113" s="15" t="n">
        <f aca="false">C113/D113</f>
        <v>34.1763855801012</v>
      </c>
      <c r="G113" s="13" t="n">
        <f aca="false">B113-C113</f>
        <v>-2911.24890039701</v>
      </c>
      <c r="H113" s="16" t="n">
        <f aca="false">G113/B113</f>
        <v>-0.025474795850288</v>
      </c>
      <c r="I113" s="15" t="n">
        <f aca="false">G113/D113</f>
        <v>-0.84900813659872</v>
      </c>
      <c r="J113" s="16" t="n">
        <f aca="false">I113/E113</f>
        <v>-0.025474795850288</v>
      </c>
      <c r="K113" s="17" t="str">
        <f aca="false">TEXT(A113,"dddd")</f>
        <v>Sunday</v>
      </c>
      <c r="L113" s="17" t="str">
        <f aca="false">IF(AND(A113&gt;=DATE(2014,9,24),A113&lt;=DATE(2014,10,6)),"Promo 1",IF(AND(A113&gt;=DATE(2014,9,10),A113&lt;=DATE(2014,9,23)),"Baseline 1",IF(AND(A113&gt;=DATE(2015,9,23),A113&lt;=DATE(2015,10,6)),"Promo 2",IF(AND(A113&gt;=DATE(2015,9,9),A113&lt;=DATE(2015,9,22)),"Baseline 2",IF(AND(A113&gt;=DATE(2016,6,23),A113&lt;=DATE(2016,7,6)),"Promo 3",IF(AND(A113&gt;=DATE(2016,6,9),A113&lt;=DATE(2016,6,22)),"Baseline 3","Other"))))))</f>
        <v>Other</v>
      </c>
    </row>
    <row r="114" customFormat="false" ht="15" hidden="false" customHeight="true" outlineLevel="0" collapsed="false">
      <c r="A114" s="12" t="n">
        <v>41750</v>
      </c>
      <c r="B114" s="13" t="n">
        <v>161170.82040273</v>
      </c>
      <c r="C114" s="13" t="n">
        <v>165415.083845504</v>
      </c>
      <c r="D114" s="14" t="n">
        <v>4834</v>
      </c>
      <c r="E114" s="15" t="n">
        <f aca="false">B114/D114</f>
        <v>33.3410882090877</v>
      </c>
      <c r="F114" s="15" t="n">
        <f aca="false">C114/D114</f>
        <v>34.2190905762317</v>
      </c>
      <c r="G114" s="13" t="n">
        <f aca="false">B114-C114</f>
        <v>-4244.26344277401</v>
      </c>
      <c r="H114" s="16" t="n">
        <f aca="false">G114/B114</f>
        <v>-0.0263339445202832</v>
      </c>
      <c r="I114" s="15" t="n">
        <f aca="false">G114/D114</f>
        <v>-0.878002367143983</v>
      </c>
      <c r="J114" s="16" t="n">
        <f aca="false">I114/E114</f>
        <v>-0.0263339445202832</v>
      </c>
      <c r="K114" s="17" t="str">
        <f aca="false">TEXT(A114,"dddd")</f>
        <v>Monday</v>
      </c>
      <c r="L114" s="17" t="str">
        <f aca="false">IF(AND(A114&gt;=DATE(2014,9,24),A114&lt;=DATE(2014,10,6)),"Promo 1",IF(AND(A114&gt;=DATE(2014,9,10),A114&lt;=DATE(2014,9,23)),"Baseline 1",IF(AND(A114&gt;=DATE(2015,9,23),A114&lt;=DATE(2015,10,6)),"Promo 2",IF(AND(A114&gt;=DATE(2015,9,9),A114&lt;=DATE(2015,9,22)),"Baseline 2",IF(AND(A114&gt;=DATE(2016,6,23),A114&lt;=DATE(2016,7,6)),"Promo 3",IF(AND(A114&gt;=DATE(2016,6,9),A114&lt;=DATE(2016,6,22)),"Baseline 3","Other"))))))</f>
        <v>Other</v>
      </c>
    </row>
    <row r="115" customFormat="false" ht="15" hidden="false" customHeight="true" outlineLevel="0" collapsed="false">
      <c r="A115" s="12" t="n">
        <v>41751</v>
      </c>
      <c r="B115" s="13" t="n">
        <v>182483.146495305</v>
      </c>
      <c r="C115" s="13" t="n">
        <v>187344.737171658</v>
      </c>
      <c r="D115" s="14" t="n">
        <v>5475</v>
      </c>
      <c r="E115" s="15" t="n">
        <f aca="false">B115/D115</f>
        <v>33.3302550676356</v>
      </c>
      <c r="F115" s="15" t="n">
        <f aca="false">C115/D115</f>
        <v>34.218216835006</v>
      </c>
      <c r="G115" s="13" t="n">
        <f aca="false">B115-C115</f>
        <v>-4861.59067635299</v>
      </c>
      <c r="H115" s="16" t="n">
        <f aca="false">G115/B115</f>
        <v>-0.0266413132923378</v>
      </c>
      <c r="I115" s="15" t="n">
        <f aca="false">G115/D115</f>
        <v>-0.88796176737041</v>
      </c>
      <c r="J115" s="16" t="n">
        <f aca="false">I115/E115</f>
        <v>-0.0266413132923378</v>
      </c>
      <c r="K115" s="17" t="str">
        <f aca="false">TEXT(A115,"dddd")</f>
        <v>Tuesday</v>
      </c>
      <c r="L115" s="17" t="str">
        <f aca="false">IF(AND(A115&gt;=DATE(2014,9,24),A115&lt;=DATE(2014,10,6)),"Promo 1",IF(AND(A115&gt;=DATE(2014,9,10),A115&lt;=DATE(2014,9,23)),"Baseline 1",IF(AND(A115&gt;=DATE(2015,9,23),A115&lt;=DATE(2015,10,6)),"Promo 2",IF(AND(A115&gt;=DATE(2015,9,9),A115&lt;=DATE(2015,9,22)),"Baseline 2",IF(AND(A115&gt;=DATE(2016,6,23),A115&lt;=DATE(2016,7,6)),"Promo 3",IF(AND(A115&gt;=DATE(2016,6,9),A115&lt;=DATE(2016,6,22)),"Baseline 3","Other"))))))</f>
        <v>Other</v>
      </c>
    </row>
    <row r="116" customFormat="false" ht="15" hidden="false" customHeight="true" outlineLevel="0" collapsed="false">
      <c r="A116" s="12" t="n">
        <v>41752</v>
      </c>
      <c r="B116" s="13" t="n">
        <v>109358.41252902</v>
      </c>
      <c r="C116" s="13" t="n">
        <v>106849.898795566</v>
      </c>
      <c r="D116" s="14" t="n">
        <v>3121</v>
      </c>
      <c r="E116" s="15" t="n">
        <f aca="false">B116/D116</f>
        <v>35.0395426238449</v>
      </c>
      <c r="F116" s="15" t="n">
        <f aca="false">C116/D116</f>
        <v>34.2357894250452</v>
      </c>
      <c r="G116" s="13" t="n">
        <f aca="false">B116-C116</f>
        <v>2508.51373345401</v>
      </c>
      <c r="H116" s="16" t="n">
        <f aca="false">G116/B116</f>
        <v>0.0229384614813088</v>
      </c>
      <c r="I116" s="15" t="n">
        <f aca="false">G116/D116</f>
        <v>0.803753198799745</v>
      </c>
      <c r="J116" s="16" t="n">
        <f aca="false">I116/E116</f>
        <v>0.0229384614813088</v>
      </c>
      <c r="K116" s="17" t="str">
        <f aca="false">TEXT(A116,"dddd")</f>
        <v>Wednesday</v>
      </c>
      <c r="L116" s="17" t="str">
        <f aca="false">IF(AND(A116&gt;=DATE(2014,9,24),A116&lt;=DATE(2014,10,6)),"Promo 1",IF(AND(A116&gt;=DATE(2014,9,10),A116&lt;=DATE(2014,9,23)),"Baseline 1",IF(AND(A116&gt;=DATE(2015,9,23),A116&lt;=DATE(2015,10,6)),"Promo 2",IF(AND(A116&gt;=DATE(2015,9,9),A116&lt;=DATE(2015,9,22)),"Baseline 2",IF(AND(A116&gt;=DATE(2016,6,23),A116&lt;=DATE(2016,7,6)),"Promo 3",IF(AND(A116&gt;=DATE(2016,6,9),A116&lt;=DATE(2016,6,22)),"Baseline 3","Other"))))))</f>
        <v>Other</v>
      </c>
    </row>
    <row r="117" customFormat="false" ht="15" hidden="false" customHeight="true" outlineLevel="0" collapsed="false">
      <c r="A117" s="12" t="n">
        <v>41753</v>
      </c>
      <c r="B117" s="13" t="n">
        <v>98430.1141092905</v>
      </c>
      <c r="C117" s="13" t="n">
        <v>96197.4822314308</v>
      </c>
      <c r="D117" s="14" t="n">
        <v>2809</v>
      </c>
      <c r="E117" s="15" t="n">
        <f aca="false">B117/D117</f>
        <v>35.0409804589856</v>
      </c>
      <c r="F117" s="15" t="n">
        <f aca="false">C117/D117</f>
        <v>34.2461666897226</v>
      </c>
      <c r="G117" s="13" t="n">
        <f aca="false">B117-C117</f>
        <v>2232.63187785971</v>
      </c>
      <c r="H117" s="16" t="n">
        <f aca="false">G117/B117</f>
        <v>0.0226824066807515</v>
      </c>
      <c r="I117" s="15" t="n">
        <f aca="false">G117/D117</f>
        <v>0.794813769262978</v>
      </c>
      <c r="J117" s="16" t="n">
        <f aca="false">I117/E117</f>
        <v>0.0226824066807515</v>
      </c>
      <c r="K117" s="17" t="str">
        <f aca="false">TEXT(A117,"dddd")</f>
        <v>Thursday</v>
      </c>
      <c r="L117" s="17" t="str">
        <f aca="false">IF(AND(A117&gt;=DATE(2014,9,24),A117&lt;=DATE(2014,10,6)),"Promo 1",IF(AND(A117&gt;=DATE(2014,9,10),A117&lt;=DATE(2014,9,23)),"Baseline 1",IF(AND(A117&gt;=DATE(2015,9,23),A117&lt;=DATE(2015,10,6)),"Promo 2",IF(AND(A117&gt;=DATE(2015,9,9),A117&lt;=DATE(2015,9,22)),"Baseline 2",IF(AND(A117&gt;=DATE(2016,6,23),A117&lt;=DATE(2016,7,6)),"Promo 3",IF(AND(A117&gt;=DATE(2016,6,9),A117&lt;=DATE(2016,6,22)),"Baseline 3","Other"))))))</f>
        <v>Other</v>
      </c>
    </row>
    <row r="118" customFormat="false" ht="15" hidden="false" customHeight="true" outlineLevel="0" collapsed="false">
      <c r="A118" s="12" t="n">
        <v>41754</v>
      </c>
      <c r="B118" s="13" t="n">
        <v>295741.346961883</v>
      </c>
      <c r="C118" s="13" t="n">
        <v>292327.028255684</v>
      </c>
      <c r="D118" s="14" t="n">
        <v>8537</v>
      </c>
      <c r="E118" s="15" t="n">
        <f aca="false">B118/D118</f>
        <v>34.6423037322107</v>
      </c>
      <c r="F118" s="15" t="n">
        <f aca="false">C118/D118</f>
        <v>34.2423601096034</v>
      </c>
      <c r="G118" s="13" t="n">
        <f aca="false">B118-C118</f>
        <v>3414.318706199</v>
      </c>
      <c r="H118" s="16" t="n">
        <f aca="false">G118/B118</f>
        <v>0.0115449487914825</v>
      </c>
      <c r="I118" s="15" t="n">
        <f aca="false">G118/D118</f>
        <v>0.399943622607357</v>
      </c>
      <c r="J118" s="16" t="n">
        <f aca="false">I118/E118</f>
        <v>0.0115449487914825</v>
      </c>
      <c r="K118" s="17" t="str">
        <f aca="false">TEXT(A118,"dddd")</f>
        <v>Friday</v>
      </c>
      <c r="L118" s="17" t="str">
        <f aca="false">IF(AND(A118&gt;=DATE(2014,9,24),A118&lt;=DATE(2014,10,6)),"Promo 1",IF(AND(A118&gt;=DATE(2014,9,10),A118&lt;=DATE(2014,9,23)),"Baseline 1",IF(AND(A118&gt;=DATE(2015,9,23),A118&lt;=DATE(2015,10,6)),"Promo 2",IF(AND(A118&gt;=DATE(2015,9,9),A118&lt;=DATE(2015,9,22)),"Baseline 2",IF(AND(A118&gt;=DATE(2016,6,23),A118&lt;=DATE(2016,7,6)),"Promo 3",IF(AND(A118&gt;=DATE(2016,6,9),A118&lt;=DATE(2016,6,22)),"Baseline 3","Other"))))))</f>
        <v>Other</v>
      </c>
    </row>
    <row r="119" customFormat="false" ht="15" hidden="false" customHeight="true" outlineLevel="0" collapsed="false">
      <c r="A119" s="12" t="n">
        <v>41755</v>
      </c>
      <c r="B119" s="13" t="n">
        <v>285053.979933128</v>
      </c>
      <c r="C119" s="13" t="n">
        <v>281159.581123413</v>
      </c>
      <c r="D119" s="14" t="n">
        <v>8209</v>
      </c>
      <c r="E119" s="15" t="n">
        <f aca="false">B119/D119</f>
        <v>34.7245681487548</v>
      </c>
      <c r="F119" s="15" t="n">
        <f aca="false">C119/D119</f>
        <v>34.2501621541495</v>
      </c>
      <c r="G119" s="13" t="n">
        <f aca="false">B119-C119</f>
        <v>3894.398809715</v>
      </c>
      <c r="H119" s="16" t="n">
        <f aca="false">G119/B119</f>
        <v>0.0136619696052958</v>
      </c>
      <c r="I119" s="15" t="n">
        <f aca="false">G119/D119</f>
        <v>0.474405994605311</v>
      </c>
      <c r="J119" s="16" t="n">
        <f aca="false">I119/E119</f>
        <v>0.0136619696052958</v>
      </c>
      <c r="K119" s="17" t="str">
        <f aca="false">TEXT(A119,"dddd")</f>
        <v>Saturday</v>
      </c>
      <c r="L119" s="17" t="str">
        <f aca="false">IF(AND(A119&gt;=DATE(2014,9,24),A119&lt;=DATE(2014,10,6)),"Promo 1",IF(AND(A119&gt;=DATE(2014,9,10),A119&lt;=DATE(2014,9,23)),"Baseline 1",IF(AND(A119&gt;=DATE(2015,9,23),A119&lt;=DATE(2015,10,6)),"Promo 2",IF(AND(A119&gt;=DATE(2015,9,9),A119&lt;=DATE(2015,9,22)),"Baseline 2",IF(AND(A119&gt;=DATE(2016,6,23),A119&lt;=DATE(2016,7,6)),"Promo 3",IF(AND(A119&gt;=DATE(2016,6,9),A119&lt;=DATE(2016,6,22)),"Baseline 3","Other"))))))</f>
        <v>Other</v>
      </c>
    </row>
    <row r="120" customFormat="false" ht="15" hidden="false" customHeight="true" outlineLevel="0" collapsed="false">
      <c r="A120" s="12" t="n">
        <v>41756</v>
      </c>
      <c r="B120" s="13" t="n">
        <v>124964.796468059</v>
      </c>
      <c r="C120" s="13" t="n">
        <v>123042.158952898</v>
      </c>
      <c r="D120" s="14" t="n">
        <v>3592</v>
      </c>
      <c r="E120" s="15" t="n">
        <f aca="false">B120/D120</f>
        <v>34.7897540278561</v>
      </c>
      <c r="F120" s="15" t="n">
        <f aca="false">C120/D120</f>
        <v>34.2544985949048</v>
      </c>
      <c r="G120" s="13" t="n">
        <f aca="false">B120-C120</f>
        <v>1922.637515161</v>
      </c>
      <c r="H120" s="16" t="n">
        <f aca="false">G120/B120</f>
        <v>0.0153854330939708</v>
      </c>
      <c r="I120" s="15" t="n">
        <f aca="false">G120/D120</f>
        <v>0.53525543295128</v>
      </c>
      <c r="J120" s="16" t="n">
        <f aca="false">I120/E120</f>
        <v>0.0153854330939708</v>
      </c>
      <c r="K120" s="17" t="str">
        <f aca="false">TEXT(A120,"dddd")</f>
        <v>Sunday</v>
      </c>
      <c r="L120" s="17" t="str">
        <f aca="false">IF(AND(A120&gt;=DATE(2014,9,24),A120&lt;=DATE(2014,10,6)),"Promo 1",IF(AND(A120&gt;=DATE(2014,9,10),A120&lt;=DATE(2014,9,23)),"Baseline 1",IF(AND(A120&gt;=DATE(2015,9,23),A120&lt;=DATE(2015,10,6)),"Promo 2",IF(AND(A120&gt;=DATE(2015,9,9),A120&lt;=DATE(2015,9,22)),"Baseline 2",IF(AND(A120&gt;=DATE(2016,6,23),A120&lt;=DATE(2016,7,6)),"Promo 3",IF(AND(A120&gt;=DATE(2016,6,9),A120&lt;=DATE(2016,6,22)),"Baseline 3","Other"))))))</f>
        <v>Other</v>
      </c>
    </row>
    <row r="121" customFormat="false" ht="15" hidden="false" customHeight="true" outlineLevel="0" collapsed="false">
      <c r="A121" s="12" t="n">
        <v>41757</v>
      </c>
      <c r="B121" s="13" t="n">
        <v>124175.808352159</v>
      </c>
      <c r="C121" s="13" t="n">
        <v>122516.065704203</v>
      </c>
      <c r="D121" s="14" t="n">
        <v>3576</v>
      </c>
      <c r="E121" s="15" t="n">
        <f aca="false">B121/D121</f>
        <v>34.7247786219684</v>
      </c>
      <c r="F121" s="15" t="n">
        <f aca="false">C121/D121</f>
        <v>34.2606447718689</v>
      </c>
      <c r="G121" s="13" t="n">
        <f aca="false">B121-C121</f>
        <v>1659.74264795599</v>
      </c>
      <c r="H121" s="16" t="n">
        <f aca="false">G121/B121</f>
        <v>0.0133660708150899</v>
      </c>
      <c r="I121" s="15" t="n">
        <f aca="false">G121/D121</f>
        <v>0.464133850099551</v>
      </c>
      <c r="J121" s="16" t="n">
        <f aca="false">I121/E121</f>
        <v>0.0133660708150899</v>
      </c>
      <c r="K121" s="17" t="str">
        <f aca="false">TEXT(A121,"dddd")</f>
        <v>Monday</v>
      </c>
      <c r="L121" s="17" t="str">
        <f aca="false">IF(AND(A121&gt;=DATE(2014,9,24),A121&lt;=DATE(2014,10,6)),"Promo 1",IF(AND(A121&gt;=DATE(2014,9,10),A121&lt;=DATE(2014,9,23)),"Baseline 1",IF(AND(A121&gt;=DATE(2015,9,23),A121&lt;=DATE(2015,10,6)),"Promo 2",IF(AND(A121&gt;=DATE(2015,9,9),A121&lt;=DATE(2015,9,22)),"Baseline 2",IF(AND(A121&gt;=DATE(2016,6,23),A121&lt;=DATE(2016,7,6)),"Promo 3",IF(AND(A121&gt;=DATE(2016,6,9),A121&lt;=DATE(2016,6,22)),"Baseline 3","Other"))))))</f>
        <v>Other</v>
      </c>
    </row>
    <row r="122" customFormat="false" ht="15" hidden="false" customHeight="true" outlineLevel="0" collapsed="false">
      <c r="A122" s="12" t="n">
        <v>41758</v>
      </c>
      <c r="B122" s="13" t="n">
        <v>131842.571632244</v>
      </c>
      <c r="C122" s="13" t="n">
        <v>130405.263858171</v>
      </c>
      <c r="D122" s="14" t="n">
        <v>3807</v>
      </c>
      <c r="E122" s="15" t="n">
        <f aca="false">B122/D122</f>
        <v>34.6316185007208</v>
      </c>
      <c r="F122" s="15" t="n">
        <f aca="false">C122/D122</f>
        <v>34.2540750875154</v>
      </c>
      <c r="G122" s="13" t="n">
        <f aca="false">B122-C122</f>
        <v>1437.30777407301</v>
      </c>
      <c r="H122" s="16" t="n">
        <f aca="false">G122/B122</f>
        <v>0.0109016970488271</v>
      </c>
      <c r="I122" s="15" t="n">
        <f aca="false">G122/D122</f>
        <v>0.377543413205413</v>
      </c>
      <c r="J122" s="16" t="n">
        <f aca="false">I122/E122</f>
        <v>0.0109016970488271</v>
      </c>
      <c r="K122" s="17" t="str">
        <f aca="false">TEXT(A122,"dddd")</f>
        <v>Tuesday</v>
      </c>
      <c r="L122" s="17" t="str">
        <f aca="false">IF(AND(A122&gt;=DATE(2014,9,24),A122&lt;=DATE(2014,10,6)),"Promo 1",IF(AND(A122&gt;=DATE(2014,9,10),A122&lt;=DATE(2014,9,23)),"Baseline 1",IF(AND(A122&gt;=DATE(2015,9,23),A122&lt;=DATE(2015,10,6)),"Promo 2",IF(AND(A122&gt;=DATE(2015,9,9),A122&lt;=DATE(2015,9,22)),"Baseline 2",IF(AND(A122&gt;=DATE(2016,6,23),A122&lt;=DATE(2016,7,6)),"Promo 3",IF(AND(A122&gt;=DATE(2016,6,9),A122&lt;=DATE(2016,6,22)),"Baseline 3","Other"))))))</f>
        <v>Other</v>
      </c>
    </row>
    <row r="123" customFormat="false" ht="15" hidden="false" customHeight="true" outlineLevel="0" collapsed="false">
      <c r="A123" s="12" t="n">
        <v>41759</v>
      </c>
      <c r="B123" s="13" t="n">
        <v>154850.057257681</v>
      </c>
      <c r="C123" s="13" t="n">
        <v>150644.348240667</v>
      </c>
      <c r="D123" s="14" t="n">
        <v>4398</v>
      </c>
      <c r="E123" s="15" t="n">
        <f aca="false">B123/D123</f>
        <v>35.2091990126605</v>
      </c>
      <c r="F123" s="15" t="n">
        <f aca="false">C123/D123</f>
        <v>34.2529213825982</v>
      </c>
      <c r="G123" s="13" t="n">
        <f aca="false">B123-C123</f>
        <v>4205.70901701401</v>
      </c>
      <c r="H123" s="16" t="n">
        <f aca="false">G123/B123</f>
        <v>0.0271598802835147</v>
      </c>
      <c r="I123" s="15" t="n">
        <f aca="false">G123/D123</f>
        <v>0.956277630062304</v>
      </c>
      <c r="J123" s="16" t="n">
        <f aca="false">I123/E123</f>
        <v>0.0271598802835147</v>
      </c>
      <c r="K123" s="17" t="str">
        <f aca="false">TEXT(A123,"dddd")</f>
        <v>Wednesday</v>
      </c>
      <c r="L123" s="17" t="str">
        <f aca="false">IF(AND(A123&gt;=DATE(2014,9,24),A123&lt;=DATE(2014,10,6)),"Promo 1",IF(AND(A123&gt;=DATE(2014,9,10),A123&lt;=DATE(2014,9,23)),"Baseline 1",IF(AND(A123&gt;=DATE(2015,9,23),A123&lt;=DATE(2015,10,6)),"Promo 2",IF(AND(A123&gt;=DATE(2015,9,9),A123&lt;=DATE(2015,9,22)),"Baseline 2",IF(AND(A123&gt;=DATE(2016,6,23),A123&lt;=DATE(2016,7,6)),"Promo 3",IF(AND(A123&gt;=DATE(2016,6,9),A123&lt;=DATE(2016,6,22)),"Baseline 3","Other"))))))</f>
        <v>Other</v>
      </c>
    </row>
    <row r="124" customFormat="false" ht="15" hidden="false" customHeight="true" outlineLevel="0" collapsed="false">
      <c r="A124" s="12" t="n">
        <v>41760</v>
      </c>
      <c r="B124" s="13" t="n">
        <v>180294.268730028</v>
      </c>
      <c r="C124" s="13" t="n">
        <v>175656.650393213</v>
      </c>
      <c r="D124" s="14" t="n">
        <v>5124</v>
      </c>
      <c r="E124" s="15" t="n">
        <f aca="false">B124/D124</f>
        <v>35.1862351151499</v>
      </c>
      <c r="F124" s="15" t="n">
        <f aca="false">C124/D124</f>
        <v>34.2811573757246</v>
      </c>
      <c r="G124" s="13" t="n">
        <f aca="false">B124-C124</f>
        <v>4637.61833681501</v>
      </c>
      <c r="H124" s="16" t="n">
        <f aca="false">G124/B124</f>
        <v>0.025722494505687</v>
      </c>
      <c r="I124" s="15" t="n">
        <f aca="false">G124/D124</f>
        <v>0.905077739425255</v>
      </c>
      <c r="J124" s="16" t="n">
        <f aca="false">I124/E124</f>
        <v>0.025722494505687</v>
      </c>
      <c r="K124" s="17" t="str">
        <f aca="false">TEXT(A124,"dddd")</f>
        <v>Thursday</v>
      </c>
      <c r="L124" s="17" t="str">
        <f aca="false">IF(AND(A124&gt;=DATE(2014,9,24),A124&lt;=DATE(2014,10,6)),"Promo 1",IF(AND(A124&gt;=DATE(2014,9,10),A124&lt;=DATE(2014,9,23)),"Baseline 1",IF(AND(A124&gt;=DATE(2015,9,23),A124&lt;=DATE(2015,10,6)),"Promo 2",IF(AND(A124&gt;=DATE(2015,9,9),A124&lt;=DATE(2015,9,22)),"Baseline 2",IF(AND(A124&gt;=DATE(2016,6,23),A124&lt;=DATE(2016,7,6)),"Promo 3",IF(AND(A124&gt;=DATE(2016,6,9),A124&lt;=DATE(2016,6,22)),"Baseline 3","Other"))))))</f>
        <v>Other</v>
      </c>
    </row>
    <row r="125" customFormat="false" ht="15" hidden="false" customHeight="true" outlineLevel="0" collapsed="false">
      <c r="A125" s="12" t="n">
        <v>41761</v>
      </c>
      <c r="B125" s="13" t="n">
        <v>163849.035829681</v>
      </c>
      <c r="C125" s="13" t="n">
        <v>157300.625596072</v>
      </c>
      <c r="D125" s="14" t="n">
        <v>4581</v>
      </c>
      <c r="E125" s="15" t="n">
        <f aca="false">B125/D125</f>
        <v>35.7670892446368</v>
      </c>
      <c r="F125" s="15" t="n">
        <f aca="false">C125/D125</f>
        <v>34.3376174625785</v>
      </c>
      <c r="G125" s="13" t="n">
        <f aca="false">B125-C125</f>
        <v>6548.410233609</v>
      </c>
      <c r="H125" s="16" t="n">
        <f aca="false">G125/B125</f>
        <v>0.0399661200351279</v>
      </c>
      <c r="I125" s="15" t="n">
        <f aca="false">G125/D125</f>
        <v>1.42947178205828</v>
      </c>
      <c r="J125" s="16" t="n">
        <f aca="false">I125/E125</f>
        <v>0.0399661200351279</v>
      </c>
      <c r="K125" s="17" t="str">
        <f aca="false">TEXT(A125,"dddd")</f>
        <v>Friday</v>
      </c>
      <c r="L125" s="17" t="str">
        <f aca="false">IF(AND(A125&gt;=DATE(2014,9,24),A125&lt;=DATE(2014,10,6)),"Promo 1",IF(AND(A125&gt;=DATE(2014,9,10),A125&lt;=DATE(2014,9,23)),"Baseline 1",IF(AND(A125&gt;=DATE(2015,9,23),A125&lt;=DATE(2015,10,6)),"Promo 2",IF(AND(A125&gt;=DATE(2015,9,9),A125&lt;=DATE(2015,9,22)),"Baseline 2",IF(AND(A125&gt;=DATE(2016,6,23),A125&lt;=DATE(2016,7,6)),"Promo 3",IF(AND(A125&gt;=DATE(2016,6,9),A125&lt;=DATE(2016,6,22)),"Baseline 3","Other"))))))</f>
        <v>Other</v>
      </c>
    </row>
    <row r="126" customFormat="false" ht="15" hidden="false" customHeight="true" outlineLevel="0" collapsed="false">
      <c r="A126" s="12" t="n">
        <v>41762</v>
      </c>
      <c r="B126" s="13" t="n">
        <v>131436.792447441</v>
      </c>
      <c r="C126" s="13" t="n">
        <v>127601.94472594</v>
      </c>
      <c r="D126" s="14" t="n">
        <v>3697</v>
      </c>
      <c r="E126" s="15" t="n">
        <f aca="false">B126/D126</f>
        <v>35.5522835941144</v>
      </c>
      <c r="F126" s="15" t="n">
        <f aca="false">C126/D126</f>
        <v>34.5149972209738</v>
      </c>
      <c r="G126" s="13" t="n">
        <f aca="false">B126-C126</f>
        <v>3834.84772150099</v>
      </c>
      <c r="H126" s="16" t="n">
        <f aca="false">G126/B126</f>
        <v>0.0291763641678526</v>
      </c>
      <c r="I126" s="15" t="n">
        <f aca="false">G126/D126</f>
        <v>1.03728637314065</v>
      </c>
      <c r="J126" s="16" t="n">
        <f aca="false">I126/E126</f>
        <v>0.0291763641678526</v>
      </c>
      <c r="K126" s="17" t="str">
        <f aca="false">TEXT(A126,"dddd")</f>
        <v>Saturday</v>
      </c>
      <c r="L126" s="17" t="str">
        <f aca="false">IF(AND(A126&gt;=DATE(2014,9,24),A126&lt;=DATE(2014,10,6)),"Promo 1",IF(AND(A126&gt;=DATE(2014,9,10),A126&lt;=DATE(2014,9,23)),"Baseline 1",IF(AND(A126&gt;=DATE(2015,9,23),A126&lt;=DATE(2015,10,6)),"Promo 2",IF(AND(A126&gt;=DATE(2015,9,9),A126&lt;=DATE(2015,9,22)),"Baseline 2",IF(AND(A126&gt;=DATE(2016,6,23),A126&lt;=DATE(2016,7,6)),"Promo 3",IF(AND(A126&gt;=DATE(2016,6,9),A126&lt;=DATE(2016,6,22)),"Baseline 3","Other"))))))</f>
        <v>Other</v>
      </c>
    </row>
    <row r="127" customFormat="false" ht="15" hidden="false" customHeight="true" outlineLevel="0" collapsed="false">
      <c r="A127" s="12" t="n">
        <v>41763</v>
      </c>
      <c r="B127" s="13" t="n">
        <v>93082.0439568928</v>
      </c>
      <c r="C127" s="13" t="n">
        <v>91601.506543395</v>
      </c>
      <c r="D127" s="14" t="n">
        <v>2642</v>
      </c>
      <c r="E127" s="15" t="n">
        <f aca="false">B127/D127</f>
        <v>35.2316593326619</v>
      </c>
      <c r="F127" s="15" t="n">
        <f aca="false">C127/D127</f>
        <v>34.6712742404977</v>
      </c>
      <c r="G127" s="13" t="n">
        <f aca="false">B127-C127</f>
        <v>1480.5374134978</v>
      </c>
      <c r="H127" s="16" t="n">
        <f aca="false">G127/B127</f>
        <v>0.0159057252135917</v>
      </c>
      <c r="I127" s="15" t="n">
        <f aca="false">G127/D127</f>
        <v>0.560385092164196</v>
      </c>
      <c r="J127" s="16" t="n">
        <f aca="false">I127/E127</f>
        <v>0.0159057252135917</v>
      </c>
      <c r="K127" s="17" t="str">
        <f aca="false">TEXT(A127,"dddd")</f>
        <v>Sunday</v>
      </c>
      <c r="L127" s="17" t="str">
        <f aca="false">IF(AND(A127&gt;=DATE(2014,9,24),A127&lt;=DATE(2014,10,6)),"Promo 1",IF(AND(A127&gt;=DATE(2014,9,10),A127&lt;=DATE(2014,9,23)),"Baseline 1",IF(AND(A127&gt;=DATE(2015,9,23),A127&lt;=DATE(2015,10,6)),"Promo 2",IF(AND(A127&gt;=DATE(2015,9,9),A127&lt;=DATE(2015,9,22)),"Baseline 2",IF(AND(A127&gt;=DATE(2016,6,23),A127&lt;=DATE(2016,7,6)),"Promo 3",IF(AND(A127&gt;=DATE(2016,6,9),A127&lt;=DATE(2016,6,22)),"Baseline 3","Other"))))))</f>
        <v>Other</v>
      </c>
    </row>
    <row r="128" customFormat="false" ht="15" hidden="false" customHeight="true" outlineLevel="0" collapsed="false">
      <c r="A128" s="12" t="n">
        <v>41764</v>
      </c>
      <c r="B128" s="13" t="n">
        <v>110887.013297212</v>
      </c>
      <c r="C128" s="13" t="n">
        <v>109460.153222671</v>
      </c>
      <c r="D128" s="14" t="n">
        <v>3154</v>
      </c>
      <c r="E128" s="15" t="n">
        <f aca="false">B128/D128</f>
        <v>35.1575818951211</v>
      </c>
      <c r="F128" s="15" t="n">
        <f aca="false">C128/D128</f>
        <v>34.7051849152413</v>
      </c>
      <c r="G128" s="13" t="n">
        <f aca="false">B128-C128</f>
        <v>1426.86007454101</v>
      </c>
      <c r="H128" s="16" t="n">
        <f aca="false">G128/B128</f>
        <v>0.0128676932682511</v>
      </c>
      <c r="I128" s="15" t="n">
        <f aca="false">G128/D128</f>
        <v>0.452396979879838</v>
      </c>
      <c r="J128" s="16" t="n">
        <f aca="false">I128/E128</f>
        <v>0.0128676932682511</v>
      </c>
      <c r="K128" s="17" t="str">
        <f aca="false">TEXT(A128,"dddd")</f>
        <v>Monday</v>
      </c>
      <c r="L128" s="17" t="str">
        <f aca="false">IF(AND(A128&gt;=DATE(2014,9,24),A128&lt;=DATE(2014,10,6)),"Promo 1",IF(AND(A128&gt;=DATE(2014,9,10),A128&lt;=DATE(2014,9,23)),"Baseline 1",IF(AND(A128&gt;=DATE(2015,9,23),A128&lt;=DATE(2015,10,6)),"Promo 2",IF(AND(A128&gt;=DATE(2015,9,9),A128&lt;=DATE(2015,9,22)),"Baseline 2",IF(AND(A128&gt;=DATE(2016,6,23),A128&lt;=DATE(2016,7,6)),"Promo 3",IF(AND(A128&gt;=DATE(2016,6,9),A128&lt;=DATE(2016,6,22)),"Baseline 3","Other"))))))</f>
        <v>Other</v>
      </c>
    </row>
    <row r="129" customFormat="false" ht="15" hidden="false" customHeight="true" outlineLevel="0" collapsed="false">
      <c r="A129" s="12" t="n">
        <v>41765</v>
      </c>
      <c r="B129" s="13" t="n">
        <v>119385.575367957</v>
      </c>
      <c r="C129" s="13" t="n">
        <v>115693.106641848</v>
      </c>
      <c r="D129" s="14" t="n">
        <v>3324</v>
      </c>
      <c r="E129" s="15" t="n">
        <f aca="false">B129/D129</f>
        <v>35.9162380770027</v>
      </c>
      <c r="F129" s="15" t="n">
        <f aca="false">C129/D129</f>
        <v>34.8053870763682</v>
      </c>
      <c r="G129" s="13" t="n">
        <f aca="false">B129-C129</f>
        <v>3692.468726109</v>
      </c>
      <c r="H129" s="16" t="n">
        <f aca="false">G129/B129</f>
        <v>0.0309289352145641</v>
      </c>
      <c r="I129" s="15" t="n">
        <f aca="false">G129/D129</f>
        <v>1.11085100063448</v>
      </c>
      <c r="J129" s="16" t="n">
        <f aca="false">I129/E129</f>
        <v>0.0309289352145641</v>
      </c>
      <c r="K129" s="17" t="str">
        <f aca="false">TEXT(A129,"dddd")</f>
        <v>Tuesday</v>
      </c>
      <c r="L129" s="17" t="str">
        <f aca="false">IF(AND(A129&gt;=DATE(2014,9,24),A129&lt;=DATE(2014,10,6)),"Promo 1",IF(AND(A129&gt;=DATE(2014,9,10),A129&lt;=DATE(2014,9,23)),"Baseline 1",IF(AND(A129&gt;=DATE(2015,9,23),A129&lt;=DATE(2015,10,6)),"Promo 2",IF(AND(A129&gt;=DATE(2015,9,9),A129&lt;=DATE(2015,9,22)),"Baseline 2",IF(AND(A129&gt;=DATE(2016,6,23),A129&lt;=DATE(2016,7,6)),"Promo 3",IF(AND(A129&gt;=DATE(2016,6,9),A129&lt;=DATE(2016,6,22)),"Baseline 3","Other"))))))</f>
        <v>Other</v>
      </c>
    </row>
    <row r="130" customFormat="false" ht="15" hidden="false" customHeight="true" outlineLevel="0" collapsed="false">
      <c r="A130" s="12" t="n">
        <v>41766</v>
      </c>
      <c r="B130" s="13" t="n">
        <v>91719.5893788375</v>
      </c>
      <c r="C130" s="13" t="n">
        <v>93157.1705825259</v>
      </c>
      <c r="D130" s="14" t="n">
        <v>2677</v>
      </c>
      <c r="E130" s="15" t="n">
        <f aca="false">B130/D130</f>
        <v>34.2620804552998</v>
      </c>
      <c r="F130" s="15" t="n">
        <f aca="false">C130/D130</f>
        <v>34.7990924850676</v>
      </c>
      <c r="G130" s="13" t="n">
        <f aca="false">B130-C130</f>
        <v>-1437.5812036884</v>
      </c>
      <c r="H130" s="16" t="n">
        <f aca="false">G130/B130</f>
        <v>-0.0156736550329574</v>
      </c>
      <c r="I130" s="15" t="n">
        <f aca="false">G130/D130</f>
        <v>-0.5370120297678</v>
      </c>
      <c r="J130" s="16" t="n">
        <f aca="false">I130/E130</f>
        <v>-0.0156736550329574</v>
      </c>
      <c r="K130" s="17" t="str">
        <f aca="false">TEXT(A130,"dddd")</f>
        <v>Wednesday</v>
      </c>
      <c r="L130" s="17" t="str">
        <f aca="false">IF(AND(A130&gt;=DATE(2014,9,24),A130&lt;=DATE(2014,10,6)),"Promo 1",IF(AND(A130&gt;=DATE(2014,9,10),A130&lt;=DATE(2014,9,23)),"Baseline 1",IF(AND(A130&gt;=DATE(2015,9,23),A130&lt;=DATE(2015,10,6)),"Promo 2",IF(AND(A130&gt;=DATE(2015,9,9),A130&lt;=DATE(2015,9,22)),"Baseline 2",IF(AND(A130&gt;=DATE(2016,6,23),A130&lt;=DATE(2016,7,6)),"Promo 3",IF(AND(A130&gt;=DATE(2016,6,9),A130&lt;=DATE(2016,6,22)),"Baseline 3","Other"))))))</f>
        <v>Other</v>
      </c>
    </row>
    <row r="131" customFormat="false" ht="15" hidden="false" customHeight="true" outlineLevel="0" collapsed="false">
      <c r="A131" s="12" t="n">
        <v>41767</v>
      </c>
      <c r="B131" s="13" t="n">
        <v>96335.4489513875</v>
      </c>
      <c r="C131" s="13" t="n">
        <v>93696.2161372138</v>
      </c>
      <c r="D131" s="14" t="n">
        <v>2683</v>
      </c>
      <c r="E131" s="15" t="n">
        <f aca="false">B131/D131</f>
        <v>35.9058699036107</v>
      </c>
      <c r="F131" s="15" t="n">
        <f aca="false">C131/D131</f>
        <v>34.9221826825247</v>
      </c>
      <c r="G131" s="13" t="n">
        <f aca="false">B131-C131</f>
        <v>2639.23281417369</v>
      </c>
      <c r="H131" s="16" t="n">
        <f aca="false">G131/B131</f>
        <v>0.0273962787624055</v>
      </c>
      <c r="I131" s="15" t="n">
        <f aca="false">G131/D131</f>
        <v>0.983687221085984</v>
      </c>
      <c r="J131" s="16" t="n">
        <f aca="false">I131/E131</f>
        <v>0.0273962787624055</v>
      </c>
      <c r="K131" s="17" t="str">
        <f aca="false">TEXT(A131,"dddd")</f>
        <v>Thursday</v>
      </c>
      <c r="L131" s="17" t="str">
        <f aca="false">IF(AND(A131&gt;=DATE(2014,9,24),A131&lt;=DATE(2014,10,6)),"Promo 1",IF(AND(A131&gt;=DATE(2014,9,10),A131&lt;=DATE(2014,9,23)),"Baseline 1",IF(AND(A131&gt;=DATE(2015,9,23),A131&lt;=DATE(2015,10,6)),"Promo 2",IF(AND(A131&gt;=DATE(2015,9,9),A131&lt;=DATE(2015,9,22)),"Baseline 2",IF(AND(A131&gt;=DATE(2016,6,23),A131&lt;=DATE(2016,7,6)),"Promo 3",IF(AND(A131&gt;=DATE(2016,6,9),A131&lt;=DATE(2016,6,22)),"Baseline 3","Other"))))))</f>
        <v>Other</v>
      </c>
    </row>
    <row r="132" customFormat="false" ht="15" hidden="false" customHeight="true" outlineLevel="0" collapsed="false">
      <c r="A132" s="12" t="n">
        <v>41768</v>
      </c>
      <c r="B132" s="13" t="n">
        <v>303226.298354255</v>
      </c>
      <c r="C132" s="13" t="n">
        <v>325836.940113892</v>
      </c>
      <c r="D132" s="14" t="n">
        <v>9328</v>
      </c>
      <c r="E132" s="15" t="n">
        <f aca="false">B132/D132</f>
        <v>32.5071074565025</v>
      </c>
      <c r="F132" s="15" t="n">
        <f aca="false">C132/D132</f>
        <v>34.9310613329644</v>
      </c>
      <c r="G132" s="13" t="n">
        <f aca="false">B132-C132</f>
        <v>-22610.641759637</v>
      </c>
      <c r="H132" s="16" t="n">
        <f aca="false">G132/B132</f>
        <v>-0.0745668890935751</v>
      </c>
      <c r="I132" s="15" t="n">
        <f aca="false">G132/D132</f>
        <v>-2.42395387646195</v>
      </c>
      <c r="J132" s="16" t="n">
        <f aca="false">I132/E132</f>
        <v>-0.0745668890935751</v>
      </c>
      <c r="K132" s="17" t="str">
        <f aca="false">TEXT(A132,"dddd")</f>
        <v>Friday</v>
      </c>
      <c r="L132" s="17" t="str">
        <f aca="false">IF(AND(A132&gt;=DATE(2014,9,24),A132&lt;=DATE(2014,10,6)),"Promo 1",IF(AND(A132&gt;=DATE(2014,9,10),A132&lt;=DATE(2014,9,23)),"Baseline 1",IF(AND(A132&gt;=DATE(2015,9,23),A132&lt;=DATE(2015,10,6)),"Promo 2",IF(AND(A132&gt;=DATE(2015,9,9),A132&lt;=DATE(2015,9,22)),"Baseline 2",IF(AND(A132&gt;=DATE(2016,6,23),A132&lt;=DATE(2016,7,6)),"Promo 3",IF(AND(A132&gt;=DATE(2016,6,9),A132&lt;=DATE(2016,6,22)),"Baseline 3","Other"))))))</f>
        <v>Other</v>
      </c>
    </row>
    <row r="133" customFormat="false" ht="15" hidden="false" customHeight="true" outlineLevel="0" collapsed="false">
      <c r="A133" s="12" t="n">
        <v>41769</v>
      </c>
      <c r="B133" s="13" t="n">
        <v>431695.70916738</v>
      </c>
      <c r="C133" s="13" t="n">
        <v>465253.815715588</v>
      </c>
      <c r="D133" s="14" t="n">
        <v>13306</v>
      </c>
      <c r="E133" s="15" t="n">
        <f aca="false">B133/D133</f>
        <v>32.4436877474357</v>
      </c>
      <c r="F133" s="15" t="n">
        <f aca="false">C133/D133</f>
        <v>34.9657158962564</v>
      </c>
      <c r="G133" s="13" t="n">
        <f aca="false">B133-C133</f>
        <v>-33558.106548208</v>
      </c>
      <c r="H133" s="16" t="n">
        <f aca="false">G133/B133</f>
        <v>-0.0777355573279433</v>
      </c>
      <c r="I133" s="15" t="n">
        <f aca="false">G133/D133</f>
        <v>-2.52202814882068</v>
      </c>
      <c r="J133" s="16" t="n">
        <f aca="false">I133/E133</f>
        <v>-0.0777355573279432</v>
      </c>
      <c r="K133" s="17" t="str">
        <f aca="false">TEXT(A133,"dddd")</f>
        <v>Saturday</v>
      </c>
      <c r="L133" s="17" t="str">
        <f aca="false">IF(AND(A133&gt;=DATE(2014,9,24),A133&lt;=DATE(2014,10,6)),"Promo 1",IF(AND(A133&gt;=DATE(2014,9,10),A133&lt;=DATE(2014,9,23)),"Baseline 1",IF(AND(A133&gt;=DATE(2015,9,23),A133&lt;=DATE(2015,10,6)),"Promo 2",IF(AND(A133&gt;=DATE(2015,9,9),A133&lt;=DATE(2015,9,22)),"Baseline 2",IF(AND(A133&gt;=DATE(2016,6,23),A133&lt;=DATE(2016,7,6)),"Promo 3",IF(AND(A133&gt;=DATE(2016,6,9),A133&lt;=DATE(2016,6,22)),"Baseline 3","Other"))))))</f>
        <v>Other</v>
      </c>
    </row>
    <row r="134" customFormat="false" ht="15" hidden="false" customHeight="true" outlineLevel="0" collapsed="false">
      <c r="A134" s="12" t="n">
        <v>41770</v>
      </c>
      <c r="B134" s="13" t="n">
        <v>200407.277067542</v>
      </c>
      <c r="C134" s="13" t="n">
        <v>215907.824912829</v>
      </c>
      <c r="D134" s="14" t="n">
        <v>6173</v>
      </c>
      <c r="E134" s="15" t="n">
        <f aca="false">B134/D134</f>
        <v>32.4651347914372</v>
      </c>
      <c r="F134" s="15" t="n">
        <f aca="false">C134/D134</f>
        <v>34.9761582557637</v>
      </c>
      <c r="G134" s="13" t="n">
        <f aca="false">B134-C134</f>
        <v>-15500.547845287</v>
      </c>
      <c r="H134" s="16" t="n">
        <f aca="false">G134/B134</f>
        <v>-0.0773452345249068</v>
      </c>
      <c r="I134" s="15" t="n">
        <f aca="false">G134/D134</f>
        <v>-2.51102346432642</v>
      </c>
      <c r="J134" s="16" t="n">
        <f aca="false">I134/E134</f>
        <v>-0.0773452345249068</v>
      </c>
      <c r="K134" s="17" t="str">
        <f aca="false">TEXT(A134,"dddd")</f>
        <v>Sunday</v>
      </c>
      <c r="L134" s="17" t="str">
        <f aca="false">IF(AND(A134&gt;=DATE(2014,9,24),A134&lt;=DATE(2014,10,6)),"Promo 1",IF(AND(A134&gt;=DATE(2014,9,10),A134&lt;=DATE(2014,9,23)),"Baseline 1",IF(AND(A134&gt;=DATE(2015,9,23),A134&lt;=DATE(2015,10,6)),"Promo 2",IF(AND(A134&gt;=DATE(2015,9,9),A134&lt;=DATE(2015,9,22)),"Baseline 2",IF(AND(A134&gt;=DATE(2016,6,23),A134&lt;=DATE(2016,7,6)),"Promo 3",IF(AND(A134&gt;=DATE(2016,6,9),A134&lt;=DATE(2016,6,22)),"Baseline 3","Other"))))))</f>
        <v>Other</v>
      </c>
    </row>
    <row r="135" customFormat="false" ht="15" hidden="false" customHeight="true" outlineLevel="0" collapsed="false">
      <c r="A135" s="12" t="n">
        <v>41771</v>
      </c>
      <c r="B135" s="13" t="n">
        <v>183413.708347736</v>
      </c>
      <c r="C135" s="13" t="n">
        <v>197835.495083798</v>
      </c>
      <c r="D135" s="14" t="n">
        <v>5653</v>
      </c>
      <c r="E135" s="15" t="n">
        <f aca="false">B135/D135</f>
        <v>32.4453756143174</v>
      </c>
      <c r="F135" s="15" t="n">
        <f aca="false">C135/D135</f>
        <v>34.9965496344946</v>
      </c>
      <c r="G135" s="13" t="n">
        <f aca="false">B135-C135</f>
        <v>-14421.786736062</v>
      </c>
      <c r="H135" s="16" t="n">
        <f aca="false">G135/B135</f>
        <v>-0.0786298192538563</v>
      </c>
      <c r="I135" s="15" t="n">
        <f aca="false">G135/D135</f>
        <v>-2.55117402017725</v>
      </c>
      <c r="J135" s="16" t="n">
        <f aca="false">I135/E135</f>
        <v>-0.0786298192538563</v>
      </c>
      <c r="K135" s="17" t="str">
        <f aca="false">TEXT(A135,"dddd")</f>
        <v>Monday</v>
      </c>
      <c r="L135" s="17" t="str">
        <f aca="false">IF(AND(A135&gt;=DATE(2014,9,24),A135&lt;=DATE(2014,10,6)),"Promo 1",IF(AND(A135&gt;=DATE(2014,9,10),A135&lt;=DATE(2014,9,23)),"Baseline 1",IF(AND(A135&gt;=DATE(2015,9,23),A135&lt;=DATE(2015,10,6)),"Promo 2",IF(AND(A135&gt;=DATE(2015,9,9),A135&lt;=DATE(2015,9,22)),"Baseline 2",IF(AND(A135&gt;=DATE(2016,6,23),A135&lt;=DATE(2016,7,6)),"Promo 3",IF(AND(A135&gt;=DATE(2016,6,9),A135&lt;=DATE(2016,6,22)),"Baseline 3","Other"))))))</f>
        <v>Other</v>
      </c>
    </row>
    <row r="136" customFormat="false" ht="15" hidden="false" customHeight="true" outlineLevel="0" collapsed="false">
      <c r="A136" s="12" t="n">
        <v>41772</v>
      </c>
      <c r="B136" s="13" t="n">
        <v>146166.601124782</v>
      </c>
      <c r="C136" s="13" t="n">
        <v>157693.189300527</v>
      </c>
      <c r="D136" s="14" t="n">
        <v>4503</v>
      </c>
      <c r="E136" s="15" t="n">
        <f aca="false">B136/D136</f>
        <v>32.4598270319303</v>
      </c>
      <c r="F136" s="15" t="n">
        <f aca="false">C136/D136</f>
        <v>35.019584565962</v>
      </c>
      <c r="G136" s="13" t="n">
        <f aca="false">B136-C136</f>
        <v>-11526.588175745</v>
      </c>
      <c r="H136" s="16" t="n">
        <f aca="false">G136/B136</f>
        <v>-0.0788592475096605</v>
      </c>
      <c r="I136" s="15" t="n">
        <f aca="false">G136/D136</f>
        <v>-2.55975753403176</v>
      </c>
      <c r="J136" s="16" t="n">
        <f aca="false">I136/E136</f>
        <v>-0.0788592475096605</v>
      </c>
      <c r="K136" s="17" t="str">
        <f aca="false">TEXT(A136,"dddd")</f>
        <v>Tuesday</v>
      </c>
      <c r="L136" s="17" t="str">
        <f aca="false">IF(AND(A136&gt;=DATE(2014,9,24),A136&lt;=DATE(2014,10,6)),"Promo 1",IF(AND(A136&gt;=DATE(2014,9,10),A136&lt;=DATE(2014,9,23)),"Baseline 1",IF(AND(A136&gt;=DATE(2015,9,23),A136&lt;=DATE(2015,10,6)),"Promo 2",IF(AND(A136&gt;=DATE(2015,9,9),A136&lt;=DATE(2015,9,22)),"Baseline 2",IF(AND(A136&gt;=DATE(2016,6,23),A136&lt;=DATE(2016,7,6)),"Promo 3",IF(AND(A136&gt;=DATE(2016,6,9),A136&lt;=DATE(2016,6,22)),"Baseline 3","Other"))))))</f>
        <v>Other</v>
      </c>
    </row>
    <row r="137" customFormat="false" ht="15" hidden="false" customHeight="true" outlineLevel="0" collapsed="false">
      <c r="A137" s="12" t="n">
        <v>41773</v>
      </c>
      <c r="B137" s="13" t="n">
        <v>201120.727640815</v>
      </c>
      <c r="C137" s="13" t="n">
        <v>218098.761888011</v>
      </c>
      <c r="D137" s="14" t="n">
        <v>6253</v>
      </c>
      <c r="E137" s="15" t="n">
        <f aca="false">B137/D137</f>
        <v>32.163877761205</v>
      </c>
      <c r="F137" s="15" t="n">
        <f aca="false">C137/D137</f>
        <v>34.8790599533042</v>
      </c>
      <c r="G137" s="13" t="n">
        <f aca="false">B137-C137</f>
        <v>-16978.034247196</v>
      </c>
      <c r="H137" s="16" t="n">
        <f aca="false">G137/B137</f>
        <v>-0.0844171281913686</v>
      </c>
      <c r="I137" s="15" t="n">
        <f aca="false">G137/D137</f>
        <v>-2.71518219209916</v>
      </c>
      <c r="J137" s="16" t="n">
        <f aca="false">I137/E137</f>
        <v>-0.0844171281913686</v>
      </c>
      <c r="K137" s="17" t="str">
        <f aca="false">TEXT(A137,"dddd")</f>
        <v>Wednesday</v>
      </c>
      <c r="L137" s="17" t="str">
        <f aca="false">IF(AND(A137&gt;=DATE(2014,9,24),A137&lt;=DATE(2014,10,6)),"Promo 1",IF(AND(A137&gt;=DATE(2014,9,10),A137&lt;=DATE(2014,9,23)),"Baseline 1",IF(AND(A137&gt;=DATE(2015,9,23),A137&lt;=DATE(2015,10,6)),"Promo 2",IF(AND(A137&gt;=DATE(2015,9,9),A137&lt;=DATE(2015,9,22)),"Baseline 2",IF(AND(A137&gt;=DATE(2016,6,23),A137&lt;=DATE(2016,7,6)),"Promo 3",IF(AND(A137&gt;=DATE(2016,6,9),A137&lt;=DATE(2016,6,22)),"Baseline 3","Other"))))))</f>
        <v>Other</v>
      </c>
    </row>
    <row r="138" customFormat="false" ht="15" hidden="false" customHeight="true" outlineLevel="0" collapsed="false">
      <c r="A138" s="12" t="n">
        <v>41774</v>
      </c>
      <c r="B138" s="13" t="n">
        <v>270123.550823328</v>
      </c>
      <c r="C138" s="13" t="n">
        <v>289864.798474272</v>
      </c>
      <c r="D138" s="14" t="n">
        <v>8408</v>
      </c>
      <c r="E138" s="15" t="n">
        <f aca="false">B138/D138</f>
        <v>32.1269684613854</v>
      </c>
      <c r="F138" s="15" t="n">
        <f aca="false">C138/D138</f>
        <v>34.4748808841903</v>
      </c>
      <c r="G138" s="13" t="n">
        <f aca="false">B138-C138</f>
        <v>-19741.247650944</v>
      </c>
      <c r="H138" s="16" t="n">
        <f aca="false">G138/B138</f>
        <v>-0.0730822899031695</v>
      </c>
      <c r="I138" s="15" t="n">
        <f aca="false">G138/D138</f>
        <v>-2.34791242280495</v>
      </c>
      <c r="J138" s="16" t="n">
        <f aca="false">I138/E138</f>
        <v>-0.0730822899031695</v>
      </c>
      <c r="K138" s="17" t="str">
        <f aca="false">TEXT(A138,"dddd")</f>
        <v>Thursday</v>
      </c>
      <c r="L138" s="17" t="str">
        <f aca="false">IF(AND(A138&gt;=DATE(2014,9,24),A138&lt;=DATE(2014,10,6)),"Promo 1",IF(AND(A138&gt;=DATE(2014,9,10),A138&lt;=DATE(2014,9,23)),"Baseline 1",IF(AND(A138&gt;=DATE(2015,9,23),A138&lt;=DATE(2015,10,6)),"Promo 2",IF(AND(A138&gt;=DATE(2015,9,9),A138&lt;=DATE(2015,9,22)),"Baseline 2",IF(AND(A138&gt;=DATE(2016,6,23),A138&lt;=DATE(2016,7,6)),"Promo 3",IF(AND(A138&gt;=DATE(2016,6,9),A138&lt;=DATE(2016,6,22)),"Baseline 3","Other"))))))</f>
        <v>Other</v>
      </c>
    </row>
    <row r="139" customFormat="false" ht="15" hidden="false" customHeight="true" outlineLevel="0" collapsed="false">
      <c r="A139" s="12" t="n">
        <v>41775</v>
      </c>
      <c r="B139" s="13" t="n">
        <v>415315.383948247</v>
      </c>
      <c r="C139" s="13" t="n">
        <v>441790.767227227</v>
      </c>
      <c r="D139" s="14" t="n">
        <v>12949</v>
      </c>
      <c r="E139" s="15" t="n">
        <f aca="false">B139/D139</f>
        <v>32.0731627112709</v>
      </c>
      <c r="F139" s="15" t="n">
        <f aca="false">C139/D139</f>
        <v>34.1177517358272</v>
      </c>
      <c r="G139" s="13" t="n">
        <f aca="false">B139-C139</f>
        <v>-26475.38327898</v>
      </c>
      <c r="H139" s="16" t="n">
        <f aca="false">G139/B139</f>
        <v>-0.0637476585319053</v>
      </c>
      <c r="I139" s="15" t="n">
        <f aca="false">G139/D139</f>
        <v>-2.04458902455633</v>
      </c>
      <c r="J139" s="16" t="n">
        <f aca="false">I139/E139</f>
        <v>-0.0637476585319053</v>
      </c>
      <c r="K139" s="17" t="str">
        <f aca="false">TEXT(A139,"dddd")</f>
        <v>Friday</v>
      </c>
      <c r="L139" s="17" t="str">
        <f aca="false">IF(AND(A139&gt;=DATE(2014,9,24),A139&lt;=DATE(2014,10,6)),"Promo 1",IF(AND(A139&gt;=DATE(2014,9,10),A139&lt;=DATE(2014,9,23)),"Baseline 1",IF(AND(A139&gt;=DATE(2015,9,23),A139&lt;=DATE(2015,10,6)),"Promo 2",IF(AND(A139&gt;=DATE(2015,9,9),A139&lt;=DATE(2015,9,22)),"Baseline 2",IF(AND(A139&gt;=DATE(2016,6,23),A139&lt;=DATE(2016,7,6)),"Promo 3",IF(AND(A139&gt;=DATE(2016,6,9),A139&lt;=DATE(2016,6,22)),"Baseline 3","Other"))))))</f>
        <v>Other</v>
      </c>
    </row>
    <row r="140" customFormat="false" ht="15" hidden="false" customHeight="true" outlineLevel="0" collapsed="false">
      <c r="A140" s="12" t="n">
        <v>41776</v>
      </c>
      <c r="B140" s="13" t="n">
        <v>498716.997555014</v>
      </c>
      <c r="C140" s="13" t="n">
        <v>526707.376961645</v>
      </c>
      <c r="D140" s="14" t="n">
        <v>15508</v>
      </c>
      <c r="E140" s="15" t="n">
        <f aca="false">B140/D140</f>
        <v>32.1586921301918</v>
      </c>
      <c r="F140" s="15" t="n">
        <f aca="false">C140/D140</f>
        <v>33.9635914986875</v>
      </c>
      <c r="G140" s="13" t="n">
        <f aca="false">B140-C140</f>
        <v>-27990.379406631</v>
      </c>
      <c r="H140" s="16" t="n">
        <f aca="false">G140/B140</f>
        <v>-0.0561247752610304</v>
      </c>
      <c r="I140" s="15" t="n">
        <f aca="false">G140/D140</f>
        <v>-1.80489936849568</v>
      </c>
      <c r="J140" s="16" t="n">
        <f aca="false">I140/E140</f>
        <v>-0.0561247752610304</v>
      </c>
      <c r="K140" s="17" t="str">
        <f aca="false">TEXT(A140,"dddd")</f>
        <v>Saturday</v>
      </c>
      <c r="L140" s="17" t="str">
        <f aca="false">IF(AND(A140&gt;=DATE(2014,9,24),A140&lt;=DATE(2014,10,6)),"Promo 1",IF(AND(A140&gt;=DATE(2014,9,10),A140&lt;=DATE(2014,9,23)),"Baseline 1",IF(AND(A140&gt;=DATE(2015,9,23),A140&lt;=DATE(2015,10,6)),"Promo 2",IF(AND(A140&gt;=DATE(2015,9,9),A140&lt;=DATE(2015,9,22)),"Baseline 2",IF(AND(A140&gt;=DATE(2016,6,23),A140&lt;=DATE(2016,7,6)),"Promo 3",IF(AND(A140&gt;=DATE(2016,6,9),A140&lt;=DATE(2016,6,22)),"Baseline 3","Other"))))))</f>
        <v>Other</v>
      </c>
    </row>
    <row r="141" customFormat="false" ht="15" hidden="false" customHeight="true" outlineLevel="0" collapsed="false">
      <c r="A141" s="12" t="n">
        <v>41777</v>
      </c>
      <c r="B141" s="13" t="n">
        <v>166433.17212926</v>
      </c>
      <c r="C141" s="13" t="n">
        <v>174376.632474618</v>
      </c>
      <c r="D141" s="14" t="n">
        <v>5141</v>
      </c>
      <c r="E141" s="15" t="n">
        <f aca="false">B141/D141</f>
        <v>32.3736961932037</v>
      </c>
      <c r="F141" s="15" t="n">
        <f aca="false">C141/D141</f>
        <v>33.9188158869127</v>
      </c>
      <c r="G141" s="13" t="n">
        <f aca="false">B141-C141</f>
        <v>-7943.46034535801</v>
      </c>
      <c r="H141" s="16" t="n">
        <f aca="false">G141/B141</f>
        <v>-0.0477276269131537</v>
      </c>
      <c r="I141" s="15" t="n">
        <f aca="false">G141/D141</f>
        <v>-1.54511969370901</v>
      </c>
      <c r="J141" s="16" t="n">
        <f aca="false">I141/E141</f>
        <v>-0.0477276269131537</v>
      </c>
      <c r="K141" s="17" t="str">
        <f aca="false">TEXT(A141,"dddd")</f>
        <v>Sunday</v>
      </c>
      <c r="L141" s="17" t="str">
        <f aca="false">IF(AND(A141&gt;=DATE(2014,9,24),A141&lt;=DATE(2014,10,6)),"Promo 1",IF(AND(A141&gt;=DATE(2014,9,10),A141&lt;=DATE(2014,9,23)),"Baseline 1",IF(AND(A141&gt;=DATE(2015,9,23),A141&lt;=DATE(2015,10,6)),"Promo 2",IF(AND(A141&gt;=DATE(2015,9,9),A141&lt;=DATE(2015,9,22)),"Baseline 2",IF(AND(A141&gt;=DATE(2016,6,23),A141&lt;=DATE(2016,7,6)),"Promo 3",IF(AND(A141&gt;=DATE(2016,6,9),A141&lt;=DATE(2016,6,22)),"Baseline 3","Other"))))))</f>
        <v>Other</v>
      </c>
    </row>
    <row r="142" customFormat="false" ht="15" hidden="false" customHeight="true" outlineLevel="0" collapsed="false">
      <c r="A142" s="12" t="n">
        <v>41778</v>
      </c>
      <c r="B142" s="13" t="n">
        <v>168520.629367429</v>
      </c>
      <c r="C142" s="13" t="n">
        <v>175540.115518245</v>
      </c>
      <c r="D142" s="14" t="n">
        <v>5194</v>
      </c>
      <c r="E142" s="15" t="n">
        <f aca="false">B142/D142</f>
        <v>32.445250167006</v>
      </c>
      <c r="F142" s="15" t="n">
        <f aca="false">C142/D142</f>
        <v>33.7967107274249</v>
      </c>
      <c r="G142" s="13" t="n">
        <f aca="false">B142-C142</f>
        <v>-7019.486150816</v>
      </c>
      <c r="H142" s="16" t="n">
        <f aca="false">G142/B142</f>
        <v>-0.0416535718930367</v>
      </c>
      <c r="I142" s="15" t="n">
        <f aca="false">G142/D142</f>
        <v>-1.35146056041894</v>
      </c>
      <c r="J142" s="16" t="n">
        <f aca="false">I142/E142</f>
        <v>-0.0416535718930367</v>
      </c>
      <c r="K142" s="17" t="str">
        <f aca="false">TEXT(A142,"dddd")</f>
        <v>Monday</v>
      </c>
      <c r="L142" s="17" t="str">
        <f aca="false">IF(AND(A142&gt;=DATE(2014,9,24),A142&lt;=DATE(2014,10,6)),"Promo 1",IF(AND(A142&gt;=DATE(2014,9,10),A142&lt;=DATE(2014,9,23)),"Baseline 1",IF(AND(A142&gt;=DATE(2015,9,23),A142&lt;=DATE(2015,10,6)),"Promo 2",IF(AND(A142&gt;=DATE(2015,9,9),A142&lt;=DATE(2015,9,22)),"Baseline 2",IF(AND(A142&gt;=DATE(2016,6,23),A142&lt;=DATE(2016,7,6)),"Promo 3",IF(AND(A142&gt;=DATE(2016,6,9),A142&lt;=DATE(2016,6,22)),"Baseline 3","Other"))))))</f>
        <v>Other</v>
      </c>
    </row>
    <row r="143" customFormat="false" ht="15" hidden="false" customHeight="true" outlineLevel="0" collapsed="false">
      <c r="A143" s="12" t="n">
        <v>41779</v>
      </c>
      <c r="B143" s="13" t="n">
        <v>178123.532109535</v>
      </c>
      <c r="C143" s="13" t="n">
        <v>187748.172202197</v>
      </c>
      <c r="D143" s="14" t="n">
        <v>5550</v>
      </c>
      <c r="E143" s="15" t="n">
        <f aca="false">B143/D143</f>
        <v>32.0943301098261</v>
      </c>
      <c r="F143" s="15" t="n">
        <f aca="false">C143/D143</f>
        <v>33.8284994958914</v>
      </c>
      <c r="G143" s="13" t="n">
        <f aca="false">B143-C143</f>
        <v>-9624.64009266198</v>
      </c>
      <c r="H143" s="16" t="n">
        <f aca="false">G143/B143</f>
        <v>-0.0540335124656265</v>
      </c>
      <c r="I143" s="15" t="n">
        <f aca="false">G143/D143</f>
        <v>-1.73416938606522</v>
      </c>
      <c r="J143" s="16" t="n">
        <f aca="false">I143/E143</f>
        <v>-0.0540335124656265</v>
      </c>
      <c r="K143" s="17" t="str">
        <f aca="false">TEXT(A143,"dddd")</f>
        <v>Tuesday</v>
      </c>
      <c r="L143" s="17" t="str">
        <f aca="false">IF(AND(A143&gt;=DATE(2014,9,24),A143&lt;=DATE(2014,10,6)),"Promo 1",IF(AND(A143&gt;=DATE(2014,9,10),A143&lt;=DATE(2014,9,23)),"Baseline 1",IF(AND(A143&gt;=DATE(2015,9,23),A143&lt;=DATE(2015,10,6)),"Promo 2",IF(AND(A143&gt;=DATE(2015,9,9),A143&lt;=DATE(2015,9,22)),"Baseline 2",IF(AND(A143&gt;=DATE(2016,6,23),A143&lt;=DATE(2016,7,6)),"Promo 3",IF(AND(A143&gt;=DATE(2016,6,9),A143&lt;=DATE(2016,6,22)),"Baseline 3","Other"))))))</f>
        <v>Other</v>
      </c>
    </row>
    <row r="144" customFormat="false" ht="15" hidden="false" customHeight="true" outlineLevel="0" collapsed="false">
      <c r="A144" s="12" t="n">
        <v>41780</v>
      </c>
      <c r="B144" s="13" t="n">
        <v>194878.802634631</v>
      </c>
      <c r="C144" s="13" t="n">
        <v>204460.665377443</v>
      </c>
      <c r="D144" s="14" t="n">
        <v>6070</v>
      </c>
      <c r="E144" s="15" t="n">
        <f aca="false">B144/D144</f>
        <v>32.1052393137778</v>
      </c>
      <c r="F144" s="15" t="n">
        <f aca="false">C144/D144</f>
        <v>33.6837998974371</v>
      </c>
      <c r="G144" s="13" t="n">
        <f aca="false">B144-C144</f>
        <v>-9581.86274281199</v>
      </c>
      <c r="H144" s="16" t="n">
        <f aca="false">G144/B144</f>
        <v>-0.0491683169912357</v>
      </c>
      <c r="I144" s="15" t="n">
        <f aca="false">G144/D144</f>
        <v>-1.57856058365931</v>
      </c>
      <c r="J144" s="16" t="n">
        <f aca="false">I144/E144</f>
        <v>-0.0491683169912357</v>
      </c>
      <c r="K144" s="17" t="str">
        <f aca="false">TEXT(A144,"dddd")</f>
        <v>Wednesday</v>
      </c>
      <c r="L144" s="17" t="str">
        <f aca="false">IF(AND(A144&gt;=DATE(2014,9,24),A144&lt;=DATE(2014,10,6)),"Promo 1",IF(AND(A144&gt;=DATE(2014,9,10),A144&lt;=DATE(2014,9,23)),"Baseline 1",IF(AND(A144&gt;=DATE(2015,9,23),A144&lt;=DATE(2015,10,6)),"Promo 2",IF(AND(A144&gt;=DATE(2015,9,9),A144&lt;=DATE(2015,9,22)),"Baseline 2",IF(AND(A144&gt;=DATE(2016,6,23),A144&lt;=DATE(2016,7,6)),"Promo 3",IF(AND(A144&gt;=DATE(2016,6,9),A144&lt;=DATE(2016,6,22)),"Baseline 3","Other"))))))</f>
        <v>Other</v>
      </c>
    </row>
    <row r="145" customFormat="false" ht="15" hidden="false" customHeight="true" outlineLevel="0" collapsed="false">
      <c r="A145" s="12" t="n">
        <v>41781</v>
      </c>
      <c r="B145" s="13" t="n">
        <v>115475.09689626</v>
      </c>
      <c r="C145" s="13" t="n">
        <v>115011.322608832</v>
      </c>
      <c r="D145" s="14" t="n">
        <v>3421</v>
      </c>
      <c r="E145" s="15" t="n">
        <f aca="false">B145/D145</f>
        <v>33.754778397036</v>
      </c>
      <c r="F145" s="15" t="n">
        <f aca="false">C145/D145</f>
        <v>33.619211519682</v>
      </c>
      <c r="G145" s="13" t="n">
        <f aca="false">B145-C145</f>
        <v>463.774287428008</v>
      </c>
      <c r="H145" s="16" t="n">
        <f aca="false">G145/B145</f>
        <v>0.00401622773994857</v>
      </c>
      <c r="I145" s="15" t="n">
        <f aca="false">G145/D145</f>
        <v>0.135566877353993</v>
      </c>
      <c r="J145" s="16" t="n">
        <f aca="false">I145/E145</f>
        <v>0.00401622773994857</v>
      </c>
      <c r="K145" s="17" t="str">
        <f aca="false">TEXT(A145,"dddd")</f>
        <v>Thursday</v>
      </c>
      <c r="L145" s="17" t="str">
        <f aca="false">IF(AND(A145&gt;=DATE(2014,9,24),A145&lt;=DATE(2014,10,6)),"Promo 1",IF(AND(A145&gt;=DATE(2014,9,10),A145&lt;=DATE(2014,9,23)),"Baseline 1",IF(AND(A145&gt;=DATE(2015,9,23),A145&lt;=DATE(2015,10,6)),"Promo 2",IF(AND(A145&gt;=DATE(2015,9,9),A145&lt;=DATE(2015,9,22)),"Baseline 2",IF(AND(A145&gt;=DATE(2016,6,23),A145&lt;=DATE(2016,7,6)),"Promo 3",IF(AND(A145&gt;=DATE(2016,6,9),A145&lt;=DATE(2016,6,22)),"Baseline 3","Other"))))))</f>
        <v>Other</v>
      </c>
    </row>
    <row r="146" customFormat="false" ht="15" hidden="false" customHeight="true" outlineLevel="0" collapsed="false">
      <c r="A146" s="12" t="n">
        <v>41782</v>
      </c>
      <c r="B146" s="13" t="n">
        <v>430521.024538655</v>
      </c>
      <c r="C146" s="13" t="n">
        <v>449274.186258366</v>
      </c>
      <c r="D146" s="14" t="n">
        <v>13384</v>
      </c>
      <c r="E146" s="15" t="n">
        <f aca="false">B146/D146</f>
        <v>32.1668428376162</v>
      </c>
      <c r="F146" s="15" t="n">
        <f aca="false">C146/D146</f>
        <v>33.5680055482939</v>
      </c>
      <c r="G146" s="13" t="n">
        <f aca="false">B146-C146</f>
        <v>-18753.161719711</v>
      </c>
      <c r="H146" s="16" t="n">
        <f aca="false">G146/B146</f>
        <v>-0.0435592239422147</v>
      </c>
      <c r="I146" s="15" t="n">
        <f aca="false">G146/D146</f>
        <v>-1.40116271067775</v>
      </c>
      <c r="J146" s="16" t="n">
        <f aca="false">I146/E146</f>
        <v>-0.0435592239422147</v>
      </c>
      <c r="K146" s="17" t="str">
        <f aca="false">TEXT(A146,"dddd")</f>
        <v>Friday</v>
      </c>
      <c r="L146" s="17" t="str">
        <f aca="false">IF(AND(A146&gt;=DATE(2014,9,24),A146&lt;=DATE(2014,10,6)),"Promo 1",IF(AND(A146&gt;=DATE(2014,9,10),A146&lt;=DATE(2014,9,23)),"Baseline 1",IF(AND(A146&gt;=DATE(2015,9,23),A146&lt;=DATE(2015,10,6)),"Promo 2",IF(AND(A146&gt;=DATE(2015,9,9),A146&lt;=DATE(2015,9,22)),"Baseline 2",IF(AND(A146&gt;=DATE(2016,6,23),A146&lt;=DATE(2016,7,6)),"Promo 3",IF(AND(A146&gt;=DATE(2016,6,9),A146&lt;=DATE(2016,6,22)),"Baseline 3","Other"))))))</f>
        <v>Other</v>
      </c>
    </row>
    <row r="147" customFormat="false" ht="15" hidden="false" customHeight="true" outlineLevel="0" collapsed="false">
      <c r="A147" s="12" t="n">
        <v>41783</v>
      </c>
      <c r="B147" s="13" t="n">
        <v>590642.825660644</v>
      </c>
      <c r="C147" s="13" t="n">
        <v>614245.794149527</v>
      </c>
      <c r="D147" s="14" t="n">
        <v>18356</v>
      </c>
      <c r="E147" s="15" t="n">
        <f aca="false">B147/D147</f>
        <v>32.1770988047856</v>
      </c>
      <c r="F147" s="15" t="n">
        <f aca="false">C147/D147</f>
        <v>33.4629436777908</v>
      </c>
      <c r="G147" s="13" t="n">
        <f aca="false">B147-C147</f>
        <v>-23602.968488883</v>
      </c>
      <c r="H147" s="16" t="n">
        <f aca="false">G147/B147</f>
        <v>-0.0399614918923</v>
      </c>
      <c r="I147" s="15" t="n">
        <f aca="false">G147/D147</f>
        <v>-1.28584487300518</v>
      </c>
      <c r="J147" s="16" t="n">
        <f aca="false">I147/E147</f>
        <v>-0.0399614918923</v>
      </c>
      <c r="K147" s="17" t="str">
        <f aca="false">TEXT(A147,"dddd")</f>
        <v>Saturday</v>
      </c>
      <c r="L147" s="17" t="str">
        <f aca="false">IF(AND(A147&gt;=DATE(2014,9,24),A147&lt;=DATE(2014,10,6)),"Promo 1",IF(AND(A147&gt;=DATE(2014,9,10),A147&lt;=DATE(2014,9,23)),"Baseline 1",IF(AND(A147&gt;=DATE(2015,9,23),A147&lt;=DATE(2015,10,6)),"Promo 2",IF(AND(A147&gt;=DATE(2015,9,9),A147&lt;=DATE(2015,9,22)),"Baseline 2",IF(AND(A147&gt;=DATE(2016,6,23),A147&lt;=DATE(2016,7,6)),"Promo 3",IF(AND(A147&gt;=DATE(2016,6,9),A147&lt;=DATE(2016,6,22)),"Baseline 3","Other"))))))</f>
        <v>Other</v>
      </c>
    </row>
    <row r="148" customFormat="false" ht="15" hidden="false" customHeight="true" outlineLevel="0" collapsed="false">
      <c r="A148" s="12" t="n">
        <v>41784</v>
      </c>
      <c r="B148" s="13" t="n">
        <v>210764.717952291</v>
      </c>
      <c r="C148" s="13" t="n">
        <v>217364.463011392</v>
      </c>
      <c r="D148" s="14" t="n">
        <v>6500</v>
      </c>
      <c r="E148" s="15" t="n">
        <f aca="false">B148/D148</f>
        <v>32.4253412234294</v>
      </c>
      <c r="F148" s="15" t="n">
        <f aca="false">C148/D148</f>
        <v>33.4406866171372</v>
      </c>
      <c r="G148" s="13" t="n">
        <f aca="false">B148-C148</f>
        <v>-6599.74505910103</v>
      </c>
      <c r="H148" s="16" t="n">
        <f aca="false">G148/B148</f>
        <v>-0.0313133294947163</v>
      </c>
      <c r="I148" s="15" t="n">
        <f aca="false">G148/D148</f>
        <v>-1.01534539370785</v>
      </c>
      <c r="J148" s="16" t="n">
        <f aca="false">I148/E148</f>
        <v>-0.0313133294947163</v>
      </c>
      <c r="K148" s="17" t="str">
        <f aca="false">TEXT(A148,"dddd")</f>
        <v>Sunday</v>
      </c>
      <c r="L148" s="17" t="str">
        <f aca="false">IF(AND(A148&gt;=DATE(2014,9,24),A148&lt;=DATE(2014,10,6)),"Promo 1",IF(AND(A148&gt;=DATE(2014,9,10),A148&lt;=DATE(2014,9,23)),"Baseline 1",IF(AND(A148&gt;=DATE(2015,9,23),A148&lt;=DATE(2015,10,6)),"Promo 2",IF(AND(A148&gt;=DATE(2015,9,9),A148&lt;=DATE(2015,9,22)),"Baseline 2",IF(AND(A148&gt;=DATE(2016,6,23),A148&lt;=DATE(2016,7,6)),"Promo 3",IF(AND(A148&gt;=DATE(2016,6,9),A148&lt;=DATE(2016,6,22)),"Baseline 3","Other"))))))</f>
        <v>Other</v>
      </c>
    </row>
    <row r="149" customFormat="false" ht="15" hidden="false" customHeight="true" outlineLevel="0" collapsed="false">
      <c r="A149" s="12" t="n">
        <v>41785</v>
      </c>
      <c r="B149" s="13" t="n">
        <v>218189.348521447</v>
      </c>
      <c r="C149" s="13" t="n">
        <v>225607.595185272</v>
      </c>
      <c r="D149" s="14" t="n">
        <v>6752</v>
      </c>
      <c r="E149" s="15" t="n">
        <f aca="false">B149/D149</f>
        <v>32.3147731814939</v>
      </c>
      <c r="F149" s="15" t="n">
        <f aca="false">C149/D149</f>
        <v>33.4134471542168</v>
      </c>
      <c r="G149" s="13" t="n">
        <f aca="false">B149-C149</f>
        <v>-7418.24666382498</v>
      </c>
      <c r="H149" s="16" t="n">
        <f aca="false">G149/B149</f>
        <v>-0.0339991237615149</v>
      </c>
      <c r="I149" s="15" t="n">
        <f aca="false">G149/D149</f>
        <v>-1.09867397272289</v>
      </c>
      <c r="J149" s="16" t="n">
        <f aca="false">I149/E149</f>
        <v>-0.0339991237615149</v>
      </c>
      <c r="K149" s="17" t="str">
        <f aca="false">TEXT(A149,"dddd")</f>
        <v>Monday</v>
      </c>
      <c r="L149" s="17" t="str">
        <f aca="false">IF(AND(A149&gt;=DATE(2014,9,24),A149&lt;=DATE(2014,10,6)),"Promo 1",IF(AND(A149&gt;=DATE(2014,9,10),A149&lt;=DATE(2014,9,23)),"Baseline 1",IF(AND(A149&gt;=DATE(2015,9,23),A149&lt;=DATE(2015,10,6)),"Promo 2",IF(AND(A149&gt;=DATE(2015,9,9),A149&lt;=DATE(2015,9,22)),"Baseline 2",IF(AND(A149&gt;=DATE(2016,6,23),A149&lt;=DATE(2016,7,6)),"Promo 3",IF(AND(A149&gt;=DATE(2016,6,9),A149&lt;=DATE(2016,6,22)),"Baseline 3","Other"))))))</f>
        <v>Other</v>
      </c>
    </row>
    <row r="150" customFormat="false" ht="15" hidden="false" customHeight="true" outlineLevel="0" collapsed="false">
      <c r="A150" s="12" t="n">
        <v>41786</v>
      </c>
      <c r="B150" s="13" t="n">
        <v>226132.463929362</v>
      </c>
      <c r="C150" s="13" t="n">
        <v>234496.512831656</v>
      </c>
      <c r="D150" s="14" t="n">
        <v>7023</v>
      </c>
      <c r="E150" s="15" t="n">
        <f aca="false">B150/D150</f>
        <v>32.1988415106596</v>
      </c>
      <c r="F150" s="15" t="n">
        <f aca="false">C150/D150</f>
        <v>33.3897925148307</v>
      </c>
      <c r="G150" s="13" t="n">
        <f aca="false">B150-C150</f>
        <v>-8364.04890229399</v>
      </c>
      <c r="H150" s="16" t="n">
        <f aca="false">G150/B150</f>
        <v>-0.0369873867597653</v>
      </c>
      <c r="I150" s="15" t="n">
        <f aca="false">G150/D150</f>
        <v>-1.19095100417115</v>
      </c>
      <c r="J150" s="16" t="n">
        <f aca="false">I150/E150</f>
        <v>-0.0369873867597653</v>
      </c>
      <c r="K150" s="17" t="str">
        <f aca="false">TEXT(A150,"dddd")</f>
        <v>Tuesday</v>
      </c>
      <c r="L150" s="17" t="str">
        <f aca="false">IF(AND(A150&gt;=DATE(2014,9,24),A150&lt;=DATE(2014,10,6)),"Promo 1",IF(AND(A150&gt;=DATE(2014,9,10),A150&lt;=DATE(2014,9,23)),"Baseline 1",IF(AND(A150&gt;=DATE(2015,9,23),A150&lt;=DATE(2015,10,6)),"Promo 2",IF(AND(A150&gt;=DATE(2015,9,9),A150&lt;=DATE(2015,9,22)),"Baseline 2",IF(AND(A150&gt;=DATE(2016,6,23),A150&lt;=DATE(2016,7,6)),"Promo 3",IF(AND(A150&gt;=DATE(2016,6,9),A150&lt;=DATE(2016,6,22)),"Baseline 3","Other"))))))</f>
        <v>Other</v>
      </c>
    </row>
    <row r="151" customFormat="false" ht="15" hidden="false" customHeight="true" outlineLevel="0" collapsed="false">
      <c r="A151" s="12" t="n">
        <v>41787</v>
      </c>
      <c r="B151" s="13" t="n">
        <v>243720.868045067</v>
      </c>
      <c r="C151" s="13" t="n">
        <v>252929.294692381</v>
      </c>
      <c r="D151" s="14" t="n">
        <v>7579</v>
      </c>
      <c r="E151" s="15" t="n">
        <f aca="false">B151/D151</f>
        <v>32.1573912185073</v>
      </c>
      <c r="F151" s="15" t="n">
        <f aca="false">C151/D151</f>
        <v>33.3723835192481</v>
      </c>
      <c r="G151" s="13" t="n">
        <f aca="false">B151-C151</f>
        <v>-9208.42664731399</v>
      </c>
      <c r="H151" s="16" t="n">
        <f aca="false">G151/B151</f>
        <v>-0.0377826762278363</v>
      </c>
      <c r="I151" s="15" t="n">
        <f aca="false">G151/D151</f>
        <v>-1.21499230074073</v>
      </c>
      <c r="J151" s="16" t="n">
        <f aca="false">I151/E151</f>
        <v>-0.0377826762278363</v>
      </c>
      <c r="K151" s="17" t="str">
        <f aca="false">TEXT(A151,"dddd")</f>
        <v>Wednesday</v>
      </c>
      <c r="L151" s="17" t="str">
        <f aca="false">IF(AND(A151&gt;=DATE(2014,9,24),A151&lt;=DATE(2014,10,6)),"Promo 1",IF(AND(A151&gt;=DATE(2014,9,10),A151&lt;=DATE(2014,9,23)),"Baseline 1",IF(AND(A151&gt;=DATE(2015,9,23),A151&lt;=DATE(2015,10,6)),"Promo 2",IF(AND(A151&gt;=DATE(2015,9,9),A151&lt;=DATE(2015,9,22)),"Baseline 2",IF(AND(A151&gt;=DATE(2016,6,23),A151&lt;=DATE(2016,7,6)),"Promo 3",IF(AND(A151&gt;=DATE(2016,6,9),A151&lt;=DATE(2016,6,22)),"Baseline 3","Other"))))))</f>
        <v>Other</v>
      </c>
    </row>
    <row r="152" customFormat="false" ht="15" hidden="false" customHeight="true" outlineLevel="0" collapsed="false">
      <c r="A152" s="12" t="n">
        <v>41788</v>
      </c>
      <c r="B152" s="13" t="n">
        <v>207429.429048136</v>
      </c>
      <c r="C152" s="13" t="n">
        <v>215118.846495117</v>
      </c>
      <c r="D152" s="14" t="n">
        <v>6448</v>
      </c>
      <c r="E152" s="15" t="n">
        <f aca="false">B152/D152</f>
        <v>32.1695764652816</v>
      </c>
      <c r="F152" s="15" t="n">
        <f aca="false">C152/D152</f>
        <v>33.3621039849747</v>
      </c>
      <c r="G152" s="13" t="n">
        <f aca="false">B152-C152</f>
        <v>-7689.41744698101</v>
      </c>
      <c r="H152" s="16" t="n">
        <f aca="false">G152/B152</f>
        <v>-0.0370700410364462</v>
      </c>
      <c r="I152" s="15" t="n">
        <f aca="false">G152/D152</f>
        <v>-1.19252751969308</v>
      </c>
      <c r="J152" s="16" t="n">
        <f aca="false">I152/E152</f>
        <v>-0.0370700410364462</v>
      </c>
      <c r="K152" s="17" t="str">
        <f aca="false">TEXT(A152,"dddd")</f>
        <v>Thursday</v>
      </c>
      <c r="L152" s="17" t="str">
        <f aca="false">IF(AND(A152&gt;=DATE(2014,9,24),A152&lt;=DATE(2014,10,6)),"Promo 1",IF(AND(A152&gt;=DATE(2014,9,10),A152&lt;=DATE(2014,9,23)),"Baseline 1",IF(AND(A152&gt;=DATE(2015,9,23),A152&lt;=DATE(2015,10,6)),"Promo 2",IF(AND(A152&gt;=DATE(2015,9,9),A152&lt;=DATE(2015,9,22)),"Baseline 2",IF(AND(A152&gt;=DATE(2016,6,23),A152&lt;=DATE(2016,7,6)),"Promo 3",IF(AND(A152&gt;=DATE(2016,6,9),A152&lt;=DATE(2016,6,22)),"Baseline 3","Other"))))))</f>
        <v>Other</v>
      </c>
    </row>
    <row r="153" customFormat="false" ht="15" hidden="false" customHeight="true" outlineLevel="0" collapsed="false">
      <c r="A153" s="12" t="n">
        <v>41789</v>
      </c>
      <c r="B153" s="13" t="n">
        <v>503149.431345348</v>
      </c>
      <c r="C153" s="13" t="n">
        <v>521651.086125573</v>
      </c>
      <c r="D153" s="14" t="n">
        <v>15637</v>
      </c>
      <c r="E153" s="15" t="n">
        <f aca="false">B153/D153</f>
        <v>32.1768517839322</v>
      </c>
      <c r="F153" s="15" t="n">
        <f aca="false">C153/D153</f>
        <v>33.360048994409</v>
      </c>
      <c r="G153" s="13" t="n">
        <f aca="false">B153-C153</f>
        <v>-18501.654780225</v>
      </c>
      <c r="H153" s="16" t="n">
        <f aca="false">G153/B153</f>
        <v>-0.0367716897358987</v>
      </c>
      <c r="I153" s="15" t="n">
        <f aca="false">G153/D153</f>
        <v>-1.18319721047675</v>
      </c>
      <c r="J153" s="16" t="n">
        <f aca="false">I153/E153</f>
        <v>-0.0367716897358987</v>
      </c>
      <c r="K153" s="17" t="str">
        <f aca="false">TEXT(A153,"dddd")</f>
        <v>Friday</v>
      </c>
      <c r="L153" s="17" t="str">
        <f aca="false">IF(AND(A153&gt;=DATE(2014,9,24),A153&lt;=DATE(2014,10,6)),"Promo 1",IF(AND(A153&gt;=DATE(2014,9,10),A153&lt;=DATE(2014,9,23)),"Baseline 1",IF(AND(A153&gt;=DATE(2015,9,23),A153&lt;=DATE(2015,10,6)),"Promo 2",IF(AND(A153&gt;=DATE(2015,9,9),A153&lt;=DATE(2015,9,22)),"Baseline 2",IF(AND(A153&gt;=DATE(2016,6,23),A153&lt;=DATE(2016,7,6)),"Promo 3",IF(AND(A153&gt;=DATE(2016,6,9),A153&lt;=DATE(2016,6,22)),"Baseline 3","Other"))))))</f>
        <v>Other</v>
      </c>
    </row>
    <row r="154" customFormat="false" ht="15" hidden="false" customHeight="true" outlineLevel="0" collapsed="false">
      <c r="A154" s="12" t="n">
        <v>41790</v>
      </c>
      <c r="B154" s="13" t="n">
        <v>603748.789526076</v>
      </c>
      <c r="C154" s="13" t="n">
        <v>626259.386848816</v>
      </c>
      <c r="D154" s="14" t="n">
        <v>18775</v>
      </c>
      <c r="E154" s="15" t="n">
        <f aca="false">B154/D154</f>
        <v>32.1570593622411</v>
      </c>
      <c r="F154" s="15" t="n">
        <f aca="false">C154/D154</f>
        <v>33.3560259306959</v>
      </c>
      <c r="G154" s="13" t="n">
        <f aca="false">B154-C154</f>
        <v>-22510.5973227399</v>
      </c>
      <c r="H154" s="16" t="n">
        <f aca="false">G154/B154</f>
        <v>-0.0372847079998455</v>
      </c>
      <c r="I154" s="15" t="n">
        <f aca="false">G154/D154</f>
        <v>-1.19896656845485</v>
      </c>
      <c r="J154" s="16" t="n">
        <f aca="false">I154/E154</f>
        <v>-0.0372847079998454</v>
      </c>
      <c r="K154" s="17" t="str">
        <f aca="false">TEXT(A154,"dddd")</f>
        <v>Saturday</v>
      </c>
      <c r="L154" s="17" t="str">
        <f aca="false">IF(AND(A154&gt;=DATE(2014,9,24),A154&lt;=DATE(2014,10,6)),"Promo 1",IF(AND(A154&gt;=DATE(2014,9,10),A154&lt;=DATE(2014,9,23)),"Baseline 1",IF(AND(A154&gt;=DATE(2015,9,23),A154&lt;=DATE(2015,10,6)),"Promo 2",IF(AND(A154&gt;=DATE(2015,9,9),A154&lt;=DATE(2015,9,22)),"Baseline 2",IF(AND(A154&gt;=DATE(2016,6,23),A154&lt;=DATE(2016,7,6)),"Promo 3",IF(AND(A154&gt;=DATE(2016,6,9),A154&lt;=DATE(2016,6,22)),"Baseline 3","Other"))))))</f>
        <v>Other</v>
      </c>
    </row>
    <row r="155" customFormat="false" ht="15" hidden="false" customHeight="true" outlineLevel="0" collapsed="false">
      <c r="A155" s="12" t="n">
        <v>41791</v>
      </c>
      <c r="B155" s="13" t="n">
        <v>456017.463092676</v>
      </c>
      <c r="C155" s="13" t="n">
        <v>473223.980731577</v>
      </c>
      <c r="D155" s="14" t="n">
        <v>14188</v>
      </c>
      <c r="E155" s="15" t="n">
        <f aca="false">B155/D155</f>
        <v>32.1410673169352</v>
      </c>
      <c r="F155" s="15" t="n">
        <f aca="false">C155/D155</f>
        <v>33.3538187716082</v>
      </c>
      <c r="G155" s="13" t="n">
        <f aca="false">B155-C155</f>
        <v>-17206.517638901</v>
      </c>
      <c r="H155" s="16" t="n">
        <f aca="false">G155/B155</f>
        <v>-0.0377321463134496</v>
      </c>
      <c r="I155" s="15" t="n">
        <f aca="false">G155/D155</f>
        <v>-1.21275145467303</v>
      </c>
      <c r="J155" s="16" t="n">
        <f aca="false">I155/E155</f>
        <v>-0.0377321463134496</v>
      </c>
      <c r="K155" s="17" t="str">
        <f aca="false">TEXT(A155,"dddd")</f>
        <v>Sunday</v>
      </c>
      <c r="L155" s="17" t="str">
        <f aca="false">IF(AND(A155&gt;=DATE(2014,9,24),A155&lt;=DATE(2014,10,6)),"Promo 1",IF(AND(A155&gt;=DATE(2014,9,10),A155&lt;=DATE(2014,9,23)),"Baseline 1",IF(AND(A155&gt;=DATE(2015,9,23),A155&lt;=DATE(2015,10,6)),"Promo 2",IF(AND(A155&gt;=DATE(2015,9,9),A155&lt;=DATE(2015,9,22)),"Baseline 2",IF(AND(A155&gt;=DATE(2016,6,23),A155&lt;=DATE(2016,7,6)),"Promo 3",IF(AND(A155&gt;=DATE(2016,6,9),A155&lt;=DATE(2016,6,22)),"Baseline 3","Other"))))))</f>
        <v>Other</v>
      </c>
    </row>
    <row r="156" customFormat="false" ht="15" hidden="false" customHeight="true" outlineLevel="0" collapsed="false">
      <c r="A156" s="12" t="n">
        <v>41792</v>
      </c>
      <c r="B156" s="13" t="n">
        <v>425845.196044721</v>
      </c>
      <c r="C156" s="13" t="n">
        <v>442155.991161187</v>
      </c>
      <c r="D156" s="14" t="n">
        <v>13256</v>
      </c>
      <c r="E156" s="15" t="n">
        <f aca="false">B156/D156</f>
        <v>32.1247130389802</v>
      </c>
      <c r="F156" s="15" t="n">
        <f aca="false">C156/D156</f>
        <v>33.3551592608017</v>
      </c>
      <c r="G156" s="13" t="n">
        <f aca="false">B156-C156</f>
        <v>-16310.795116466</v>
      </c>
      <c r="H156" s="16" t="n">
        <f aca="false">G156/B156</f>
        <v>-0.0383021700560715</v>
      </c>
      <c r="I156" s="15" t="n">
        <f aca="false">G156/D156</f>
        <v>-1.23044622182152</v>
      </c>
      <c r="J156" s="16" t="n">
        <f aca="false">I156/E156</f>
        <v>-0.0383021700560715</v>
      </c>
      <c r="K156" s="17" t="str">
        <f aca="false">TEXT(A156,"dddd")</f>
        <v>Monday</v>
      </c>
      <c r="L156" s="17" t="str">
        <f aca="false">IF(AND(A156&gt;=DATE(2014,9,24),A156&lt;=DATE(2014,10,6)),"Promo 1",IF(AND(A156&gt;=DATE(2014,9,10),A156&lt;=DATE(2014,9,23)),"Baseline 1",IF(AND(A156&gt;=DATE(2015,9,23),A156&lt;=DATE(2015,10,6)),"Promo 2",IF(AND(A156&gt;=DATE(2015,9,9),A156&lt;=DATE(2015,9,22)),"Baseline 2",IF(AND(A156&gt;=DATE(2016,6,23),A156&lt;=DATE(2016,7,6)),"Promo 3",IF(AND(A156&gt;=DATE(2016,6,9),A156&lt;=DATE(2016,6,22)),"Baseline 3","Other"))))))</f>
        <v>Other</v>
      </c>
    </row>
    <row r="157" customFormat="false" ht="15" hidden="false" customHeight="true" outlineLevel="0" collapsed="false">
      <c r="A157" s="12" t="n">
        <v>41793</v>
      </c>
      <c r="B157" s="13" t="n">
        <v>328217.769952647</v>
      </c>
      <c r="C157" s="13" t="n">
        <v>340913.591725203</v>
      </c>
      <c r="D157" s="14" t="n">
        <v>10223</v>
      </c>
      <c r="E157" s="15" t="n">
        <f aca="false">B157/D157</f>
        <v>32.1058172701406</v>
      </c>
      <c r="F157" s="15" t="n">
        <f aca="false">C157/D157</f>
        <v>33.3477053433633</v>
      </c>
      <c r="G157" s="13" t="n">
        <f aca="false">B157-C157</f>
        <v>-12695.821772556</v>
      </c>
      <c r="H157" s="16" t="n">
        <f aca="false">G157/B157</f>
        <v>-0.0386810920517425</v>
      </c>
      <c r="I157" s="15" t="n">
        <f aca="false">G157/D157</f>
        <v>-1.24188807322273</v>
      </c>
      <c r="J157" s="16" t="n">
        <f aca="false">I157/E157</f>
        <v>-0.0386810920517426</v>
      </c>
      <c r="K157" s="17" t="str">
        <f aca="false">TEXT(A157,"dddd")</f>
        <v>Tuesday</v>
      </c>
      <c r="L157" s="17" t="str">
        <f aca="false">IF(AND(A157&gt;=DATE(2014,9,24),A157&lt;=DATE(2014,10,6)),"Promo 1",IF(AND(A157&gt;=DATE(2014,9,10),A157&lt;=DATE(2014,9,23)),"Baseline 1",IF(AND(A157&gt;=DATE(2015,9,23),A157&lt;=DATE(2015,10,6)),"Promo 2",IF(AND(A157&gt;=DATE(2015,9,9),A157&lt;=DATE(2015,9,22)),"Baseline 2",IF(AND(A157&gt;=DATE(2016,6,23),A157&lt;=DATE(2016,7,6)),"Promo 3",IF(AND(A157&gt;=DATE(2016,6,9),A157&lt;=DATE(2016,6,22)),"Baseline 3","Other"))))))</f>
        <v>Other</v>
      </c>
    </row>
    <row r="158" customFormat="false" ht="15" hidden="false" customHeight="true" outlineLevel="0" collapsed="false">
      <c r="A158" s="12" t="n">
        <v>41794</v>
      </c>
      <c r="B158" s="13" t="n">
        <v>286405.998802503</v>
      </c>
      <c r="C158" s="13" t="n">
        <v>296902.672530802</v>
      </c>
      <c r="D158" s="14" t="n">
        <v>8904</v>
      </c>
      <c r="E158" s="15" t="n">
        <f aca="false">B158/D158</f>
        <v>32.1659926777295</v>
      </c>
      <c r="F158" s="15" t="n">
        <f aca="false">C158/D158</f>
        <v>33.3448643902518</v>
      </c>
      <c r="G158" s="13" t="n">
        <f aca="false">B158-C158</f>
        <v>-10496.673728299</v>
      </c>
      <c r="H158" s="16" t="n">
        <f aca="false">G158/B158</f>
        <v>-0.0366496294497561</v>
      </c>
      <c r="I158" s="15" t="n">
        <f aca="false">G158/D158</f>
        <v>-1.17887171252235</v>
      </c>
      <c r="J158" s="16" t="n">
        <f aca="false">I158/E158</f>
        <v>-0.0366496294497561</v>
      </c>
      <c r="K158" s="17" t="str">
        <f aca="false">TEXT(A158,"dddd")</f>
        <v>Wednesday</v>
      </c>
      <c r="L158" s="17" t="str">
        <f aca="false">IF(AND(A158&gt;=DATE(2014,9,24),A158&lt;=DATE(2014,10,6)),"Promo 1",IF(AND(A158&gt;=DATE(2014,9,10),A158&lt;=DATE(2014,9,23)),"Baseline 1",IF(AND(A158&gt;=DATE(2015,9,23),A158&lt;=DATE(2015,10,6)),"Promo 2",IF(AND(A158&gt;=DATE(2015,9,9),A158&lt;=DATE(2015,9,22)),"Baseline 2",IF(AND(A158&gt;=DATE(2016,6,23),A158&lt;=DATE(2016,7,6)),"Promo 3",IF(AND(A158&gt;=DATE(2016,6,9),A158&lt;=DATE(2016,6,22)),"Baseline 3","Other"))))))</f>
        <v>Other</v>
      </c>
    </row>
    <row r="159" customFormat="false" ht="15" hidden="false" customHeight="true" outlineLevel="0" collapsed="false">
      <c r="A159" s="12" t="n">
        <v>41795</v>
      </c>
      <c r="B159" s="13" t="n">
        <v>184989.888666876</v>
      </c>
      <c r="C159" s="13" t="n">
        <v>192824.890128464</v>
      </c>
      <c r="D159" s="14" t="n">
        <v>5783</v>
      </c>
      <c r="E159" s="15" t="n">
        <f aca="false">B159/D159</f>
        <v>31.9885679866637</v>
      </c>
      <c r="F159" s="15" t="n">
        <f aca="false">C159/D159</f>
        <v>33.343401370995</v>
      </c>
      <c r="G159" s="13" t="n">
        <f aca="false">B159-C159</f>
        <v>-7835.00146158799</v>
      </c>
      <c r="H159" s="16" t="n">
        <f aca="false">G159/B159</f>
        <v>-0.0423536741280872</v>
      </c>
      <c r="I159" s="15" t="n">
        <f aca="false">G159/D159</f>
        <v>-1.35483338433131</v>
      </c>
      <c r="J159" s="16" t="n">
        <f aca="false">I159/E159</f>
        <v>-0.0423536741280872</v>
      </c>
      <c r="K159" s="17" t="str">
        <f aca="false">TEXT(A159,"dddd")</f>
        <v>Thursday</v>
      </c>
      <c r="L159" s="17" t="str">
        <f aca="false">IF(AND(A159&gt;=DATE(2014,9,24),A159&lt;=DATE(2014,10,6)),"Promo 1",IF(AND(A159&gt;=DATE(2014,9,10),A159&lt;=DATE(2014,9,23)),"Baseline 1",IF(AND(A159&gt;=DATE(2015,9,23),A159&lt;=DATE(2015,10,6)),"Promo 2",IF(AND(A159&gt;=DATE(2015,9,9),A159&lt;=DATE(2015,9,22)),"Baseline 2",IF(AND(A159&gt;=DATE(2016,6,23),A159&lt;=DATE(2016,7,6)),"Promo 3",IF(AND(A159&gt;=DATE(2016,6,9),A159&lt;=DATE(2016,6,22)),"Baseline 3","Other"))))))</f>
        <v>Other</v>
      </c>
    </row>
    <row r="160" customFormat="false" ht="15" hidden="false" customHeight="true" outlineLevel="0" collapsed="false">
      <c r="A160" s="12" t="n">
        <v>41796</v>
      </c>
      <c r="B160" s="13" t="n">
        <v>288118.304447456</v>
      </c>
      <c r="C160" s="13" t="n">
        <v>300213.559406662</v>
      </c>
      <c r="D160" s="14" t="n">
        <v>9005</v>
      </c>
      <c r="E160" s="15" t="n">
        <f aca="false">B160/D160</f>
        <v>31.9953697331989</v>
      </c>
      <c r="F160" s="15" t="n">
        <f aca="false">C160/D160</f>
        <v>33.3385407447709</v>
      </c>
      <c r="G160" s="13" t="n">
        <f aca="false">B160-C160</f>
        <v>-12095.254959206</v>
      </c>
      <c r="H160" s="16" t="n">
        <f aca="false">G160/B160</f>
        <v>-0.0419801684672618</v>
      </c>
      <c r="I160" s="15" t="n">
        <f aca="false">G160/D160</f>
        <v>-1.34317101157202</v>
      </c>
      <c r="J160" s="16" t="n">
        <f aca="false">I160/E160</f>
        <v>-0.0419801684672618</v>
      </c>
      <c r="K160" s="17" t="str">
        <f aca="false">TEXT(A160,"dddd")</f>
        <v>Friday</v>
      </c>
      <c r="L160" s="17" t="str">
        <f aca="false">IF(AND(A160&gt;=DATE(2014,9,24),A160&lt;=DATE(2014,10,6)),"Promo 1",IF(AND(A160&gt;=DATE(2014,9,10),A160&lt;=DATE(2014,9,23)),"Baseline 1",IF(AND(A160&gt;=DATE(2015,9,23),A160&lt;=DATE(2015,10,6)),"Promo 2",IF(AND(A160&gt;=DATE(2015,9,9),A160&lt;=DATE(2015,9,22)),"Baseline 2",IF(AND(A160&gt;=DATE(2016,6,23),A160&lt;=DATE(2016,7,6)),"Promo 3",IF(AND(A160&gt;=DATE(2016,6,9),A160&lt;=DATE(2016,6,22)),"Baseline 3","Other"))))))</f>
        <v>Other</v>
      </c>
    </row>
    <row r="161" customFormat="false" ht="15" hidden="false" customHeight="true" outlineLevel="0" collapsed="false">
      <c r="A161" s="12" t="n">
        <v>41797</v>
      </c>
      <c r="B161" s="13" t="n">
        <v>391930.878009661</v>
      </c>
      <c r="C161" s="13" t="n">
        <v>407438.919600541</v>
      </c>
      <c r="D161" s="14" t="n">
        <v>12222</v>
      </c>
      <c r="E161" s="15" t="n">
        <f aca="false">B161/D161</f>
        <v>32.0676548854247</v>
      </c>
      <c r="F161" s="15" t="n">
        <f aca="false">C161/D161</f>
        <v>33.3365177221847</v>
      </c>
      <c r="G161" s="13" t="n">
        <f aca="false">B161-C161</f>
        <v>-15508.04159088</v>
      </c>
      <c r="H161" s="16" t="n">
        <f aca="false">G161/B161</f>
        <v>-0.0395683077323082</v>
      </c>
      <c r="I161" s="15" t="n">
        <f aca="false">G161/D161</f>
        <v>-1.26886283675994</v>
      </c>
      <c r="J161" s="16" t="n">
        <f aca="false">I161/E161</f>
        <v>-0.0395683077323082</v>
      </c>
      <c r="K161" s="17" t="str">
        <f aca="false">TEXT(A161,"dddd")</f>
        <v>Saturday</v>
      </c>
      <c r="L161" s="17" t="str">
        <f aca="false">IF(AND(A161&gt;=DATE(2014,9,24),A161&lt;=DATE(2014,10,6)),"Promo 1",IF(AND(A161&gt;=DATE(2014,9,10),A161&lt;=DATE(2014,9,23)),"Baseline 1",IF(AND(A161&gt;=DATE(2015,9,23),A161&lt;=DATE(2015,10,6)),"Promo 2",IF(AND(A161&gt;=DATE(2015,9,9),A161&lt;=DATE(2015,9,22)),"Baseline 2",IF(AND(A161&gt;=DATE(2016,6,23),A161&lt;=DATE(2016,7,6)),"Promo 3",IF(AND(A161&gt;=DATE(2016,6,9),A161&lt;=DATE(2016,6,22)),"Baseline 3","Other"))))))</f>
        <v>Other</v>
      </c>
    </row>
    <row r="162" customFormat="false" ht="15" hidden="false" customHeight="true" outlineLevel="0" collapsed="false">
      <c r="A162" s="12" t="n">
        <v>41798</v>
      </c>
      <c r="B162" s="13" t="n">
        <v>193772.581108797</v>
      </c>
      <c r="C162" s="13" t="n">
        <v>201254.712511546</v>
      </c>
      <c r="D162" s="14" t="n">
        <v>6037</v>
      </c>
      <c r="E162" s="15" t="n">
        <f aca="false">B162/D162</f>
        <v>32.0974956284242</v>
      </c>
      <c r="F162" s="15" t="n">
        <f aca="false">C162/D162</f>
        <v>33.3368746913278</v>
      </c>
      <c r="G162" s="13" t="n">
        <f aca="false">B162-C162</f>
        <v>-7482.13140274902</v>
      </c>
      <c r="H162" s="16" t="n">
        <f aca="false">G162/B162</f>
        <v>-0.0386129521521316</v>
      </c>
      <c r="I162" s="15" t="n">
        <f aca="false">G162/D162</f>
        <v>-1.2393790629036</v>
      </c>
      <c r="J162" s="16" t="n">
        <f aca="false">I162/E162</f>
        <v>-0.0386129521521316</v>
      </c>
      <c r="K162" s="17" t="str">
        <f aca="false">TEXT(A162,"dddd")</f>
        <v>Sunday</v>
      </c>
      <c r="L162" s="17" t="str">
        <f aca="false">IF(AND(A162&gt;=DATE(2014,9,24),A162&lt;=DATE(2014,10,6)),"Promo 1",IF(AND(A162&gt;=DATE(2014,9,10),A162&lt;=DATE(2014,9,23)),"Baseline 1",IF(AND(A162&gt;=DATE(2015,9,23),A162&lt;=DATE(2015,10,6)),"Promo 2",IF(AND(A162&gt;=DATE(2015,9,9),A162&lt;=DATE(2015,9,22)),"Baseline 2",IF(AND(A162&gt;=DATE(2016,6,23),A162&lt;=DATE(2016,7,6)),"Promo 3",IF(AND(A162&gt;=DATE(2016,6,9),A162&lt;=DATE(2016,6,22)),"Baseline 3","Other"))))))</f>
        <v>Other</v>
      </c>
    </row>
    <row r="163" customFormat="false" ht="15" hidden="false" customHeight="true" outlineLevel="0" collapsed="false">
      <c r="A163" s="12" t="n">
        <v>41799</v>
      </c>
      <c r="B163" s="13" t="n">
        <v>214177.983442618</v>
      </c>
      <c r="C163" s="13" t="n">
        <v>220255.219178828</v>
      </c>
      <c r="D163" s="14" t="n">
        <v>6607</v>
      </c>
      <c r="E163" s="15" t="n">
        <f aca="false">B163/D163</f>
        <v>32.4168281281396</v>
      </c>
      <c r="F163" s="15" t="n">
        <f aca="false">C163/D163</f>
        <v>33.3366458572466</v>
      </c>
      <c r="G163" s="13" t="n">
        <f aca="false">B163-C163</f>
        <v>-6077.23573621002</v>
      </c>
      <c r="H163" s="16" t="n">
        <f aca="false">G163/B163</f>
        <v>-0.0283746986432815</v>
      </c>
      <c r="I163" s="15" t="n">
        <f aca="false">G163/D163</f>
        <v>-0.91981772910701</v>
      </c>
      <c r="J163" s="16" t="n">
        <f aca="false">I163/E163</f>
        <v>-0.0283746986432815</v>
      </c>
      <c r="K163" s="17" t="str">
        <f aca="false">TEXT(A163,"dddd")</f>
        <v>Monday</v>
      </c>
      <c r="L163" s="17" t="str">
        <f aca="false">IF(AND(A163&gt;=DATE(2014,9,24),A163&lt;=DATE(2014,10,6)),"Promo 1",IF(AND(A163&gt;=DATE(2014,9,10),A163&lt;=DATE(2014,9,23)),"Baseline 1",IF(AND(A163&gt;=DATE(2015,9,23),A163&lt;=DATE(2015,10,6)),"Promo 2",IF(AND(A163&gt;=DATE(2015,9,9),A163&lt;=DATE(2015,9,22)),"Baseline 2",IF(AND(A163&gt;=DATE(2016,6,23),A163&lt;=DATE(2016,7,6)),"Promo 3",IF(AND(A163&gt;=DATE(2016,6,9),A163&lt;=DATE(2016,6,22)),"Baseline 3","Other"))))))</f>
        <v>Other</v>
      </c>
    </row>
    <row r="164" customFormat="false" ht="15" hidden="false" customHeight="true" outlineLevel="0" collapsed="false">
      <c r="A164" s="12" t="n">
        <v>41800</v>
      </c>
      <c r="B164" s="13" t="n">
        <v>188334.52117068</v>
      </c>
      <c r="C164" s="13" t="n">
        <v>195254.781003702</v>
      </c>
      <c r="D164" s="14" t="n">
        <v>5857</v>
      </c>
      <c r="E164" s="15" t="n">
        <f aca="false">B164/D164</f>
        <v>32.1554586256923</v>
      </c>
      <c r="F164" s="15" t="n">
        <f aca="false">C164/D164</f>
        <v>33.3369952200277</v>
      </c>
      <c r="G164" s="13" t="n">
        <f aca="false">B164-C164</f>
        <v>-6920.25983302199</v>
      </c>
      <c r="H164" s="16" t="n">
        <f aca="false">G164/B164</f>
        <v>-0.0367445107248843</v>
      </c>
      <c r="I164" s="15" t="n">
        <f aca="false">G164/D164</f>
        <v>-1.18153659433532</v>
      </c>
      <c r="J164" s="16" t="n">
        <f aca="false">I164/E164</f>
        <v>-0.0367445107248843</v>
      </c>
      <c r="K164" s="17" t="str">
        <f aca="false">TEXT(A164,"dddd")</f>
        <v>Tuesday</v>
      </c>
      <c r="L164" s="17" t="str">
        <f aca="false">IF(AND(A164&gt;=DATE(2014,9,24),A164&lt;=DATE(2014,10,6)),"Promo 1",IF(AND(A164&gt;=DATE(2014,9,10),A164&lt;=DATE(2014,9,23)),"Baseline 1",IF(AND(A164&gt;=DATE(2015,9,23),A164&lt;=DATE(2015,10,6)),"Promo 2",IF(AND(A164&gt;=DATE(2015,9,9),A164&lt;=DATE(2015,9,22)),"Baseline 2",IF(AND(A164&gt;=DATE(2016,6,23),A164&lt;=DATE(2016,7,6)),"Promo 3",IF(AND(A164&gt;=DATE(2016,6,9),A164&lt;=DATE(2016,6,22)),"Baseline 3","Other"))))))</f>
        <v>Other</v>
      </c>
    </row>
    <row r="165" customFormat="false" ht="15" hidden="false" customHeight="true" outlineLevel="0" collapsed="false">
      <c r="A165" s="12" t="n">
        <v>41801</v>
      </c>
      <c r="B165" s="13" t="n">
        <v>174324.99481546</v>
      </c>
      <c r="C165" s="13" t="n">
        <v>180978.601038229</v>
      </c>
      <c r="D165" s="14" t="n">
        <v>5429</v>
      </c>
      <c r="E165" s="15" t="n">
        <f aca="false">B165/D165</f>
        <v>32.1099640477915</v>
      </c>
      <c r="F165" s="15" t="n">
        <f aca="false">C165/D165</f>
        <v>33.335531596653</v>
      </c>
      <c r="G165" s="13" t="n">
        <f aca="false">B165-C165</f>
        <v>-6653.60622276901</v>
      </c>
      <c r="H165" s="16" t="n">
        <f aca="false">G165/B165</f>
        <v>-0.0381678268788277</v>
      </c>
      <c r="I165" s="15" t="n">
        <f aca="false">G165/D165</f>
        <v>-1.22556754886149</v>
      </c>
      <c r="J165" s="16" t="n">
        <f aca="false">I165/E165</f>
        <v>-0.0381678268788277</v>
      </c>
      <c r="K165" s="17" t="str">
        <f aca="false">TEXT(A165,"dddd")</f>
        <v>Wednesday</v>
      </c>
      <c r="L165" s="17" t="str">
        <f aca="false">IF(AND(A165&gt;=DATE(2014,9,24),A165&lt;=DATE(2014,10,6)),"Promo 1",IF(AND(A165&gt;=DATE(2014,9,10),A165&lt;=DATE(2014,9,23)),"Baseline 1",IF(AND(A165&gt;=DATE(2015,9,23),A165&lt;=DATE(2015,10,6)),"Promo 2",IF(AND(A165&gt;=DATE(2015,9,9),A165&lt;=DATE(2015,9,22)),"Baseline 2",IF(AND(A165&gt;=DATE(2016,6,23),A165&lt;=DATE(2016,7,6)),"Promo 3",IF(AND(A165&gt;=DATE(2016,6,9),A165&lt;=DATE(2016,6,22)),"Baseline 3","Other"))))))</f>
        <v>Other</v>
      </c>
    </row>
    <row r="166" customFormat="false" ht="15" hidden="false" customHeight="true" outlineLevel="0" collapsed="false">
      <c r="A166" s="12" t="n">
        <v>41802</v>
      </c>
      <c r="B166" s="13" t="n">
        <v>200271.56431626</v>
      </c>
      <c r="C166" s="13" t="n">
        <v>207757.702973216</v>
      </c>
      <c r="D166" s="14" t="n">
        <v>6232</v>
      </c>
      <c r="E166" s="15" t="n">
        <f aca="false">B166/D166</f>
        <v>32.1360019762933</v>
      </c>
      <c r="F166" s="15" t="n">
        <f aca="false">C166/D166</f>
        <v>33.3372437376791</v>
      </c>
      <c r="G166" s="13" t="n">
        <f aca="false">B166-C166</f>
        <v>-7486.138656956</v>
      </c>
      <c r="H166" s="16" t="n">
        <f aca="false">G166/B166</f>
        <v>-0.0373799379982583</v>
      </c>
      <c r="I166" s="15" t="n">
        <f aca="false">G166/D166</f>
        <v>-1.20124176138575</v>
      </c>
      <c r="J166" s="16" t="n">
        <f aca="false">I166/E166</f>
        <v>-0.0373799379982583</v>
      </c>
      <c r="K166" s="17" t="str">
        <f aca="false">TEXT(A166,"dddd")</f>
        <v>Thursday</v>
      </c>
      <c r="L166" s="17" t="str">
        <f aca="false">IF(AND(A166&gt;=DATE(2014,9,24),A166&lt;=DATE(2014,10,6)),"Promo 1",IF(AND(A166&gt;=DATE(2014,9,10),A166&lt;=DATE(2014,9,23)),"Baseline 1",IF(AND(A166&gt;=DATE(2015,9,23),A166&lt;=DATE(2015,10,6)),"Promo 2",IF(AND(A166&gt;=DATE(2015,9,9),A166&lt;=DATE(2015,9,22)),"Baseline 2",IF(AND(A166&gt;=DATE(2016,6,23),A166&lt;=DATE(2016,7,6)),"Promo 3",IF(AND(A166&gt;=DATE(2016,6,9),A166&lt;=DATE(2016,6,22)),"Baseline 3","Other"))))))</f>
        <v>Other</v>
      </c>
    </row>
    <row r="167" customFormat="false" ht="15" hidden="false" customHeight="true" outlineLevel="0" collapsed="false">
      <c r="A167" s="12" t="n">
        <v>41803</v>
      </c>
      <c r="B167" s="13" t="n">
        <v>468701.630173914</v>
      </c>
      <c r="C167" s="13" t="n">
        <v>486180.54436188</v>
      </c>
      <c r="D167" s="14" t="n">
        <v>14585</v>
      </c>
      <c r="E167" s="15" t="n">
        <f aca="false">B167/D167</f>
        <v>32.1358676841902</v>
      </c>
      <c r="F167" s="15" t="n">
        <f aca="false">C167/D167</f>
        <v>33.334284837976</v>
      </c>
      <c r="G167" s="13" t="n">
        <f aca="false">B167-C167</f>
        <v>-17478.914187966</v>
      </c>
      <c r="H167" s="16" t="n">
        <f aca="false">G167/B167</f>
        <v>-0.0372921984109173</v>
      </c>
      <c r="I167" s="15" t="n">
        <f aca="false">G167/D167</f>
        <v>-1.19841715378581</v>
      </c>
      <c r="J167" s="16" t="n">
        <f aca="false">I167/E167</f>
        <v>-0.0372921984109173</v>
      </c>
      <c r="K167" s="17" t="str">
        <f aca="false">TEXT(A167,"dddd")</f>
        <v>Friday</v>
      </c>
      <c r="L167" s="17" t="str">
        <f aca="false">IF(AND(A167&gt;=DATE(2014,9,24),A167&lt;=DATE(2014,10,6)),"Promo 1",IF(AND(A167&gt;=DATE(2014,9,10),A167&lt;=DATE(2014,9,23)),"Baseline 1",IF(AND(A167&gt;=DATE(2015,9,23),A167&lt;=DATE(2015,10,6)),"Promo 2",IF(AND(A167&gt;=DATE(2015,9,9),A167&lt;=DATE(2015,9,22)),"Baseline 2",IF(AND(A167&gt;=DATE(2016,6,23),A167&lt;=DATE(2016,7,6)),"Promo 3",IF(AND(A167&gt;=DATE(2016,6,9),A167&lt;=DATE(2016,6,22)),"Baseline 3","Other"))))))</f>
        <v>Other</v>
      </c>
    </row>
    <row r="168" customFormat="false" ht="15" hidden="false" customHeight="true" outlineLevel="0" collapsed="false">
      <c r="A168" s="12" t="n">
        <v>41804</v>
      </c>
      <c r="B168" s="13" t="n">
        <v>473425.754156949</v>
      </c>
      <c r="C168" s="13" t="n">
        <v>492135.292294435</v>
      </c>
      <c r="D168" s="14" t="n">
        <v>14745</v>
      </c>
      <c r="E168" s="15" t="n">
        <f aca="false">B168/D168</f>
        <v>32.1075452124075</v>
      </c>
      <c r="F168" s="15" t="n">
        <f aca="false">C168/D168</f>
        <v>33.3764186025388</v>
      </c>
      <c r="G168" s="13" t="n">
        <f aca="false">B168-C168</f>
        <v>-18709.538137486</v>
      </c>
      <c r="H168" s="16" t="n">
        <f aca="false">G168/B168</f>
        <v>-0.0395194768624343</v>
      </c>
      <c r="I168" s="15" t="n">
        <f aca="false">G168/D168</f>
        <v>-1.2688733901313</v>
      </c>
      <c r="J168" s="16" t="n">
        <f aca="false">I168/E168</f>
        <v>-0.0395194768624343</v>
      </c>
      <c r="K168" s="17" t="str">
        <f aca="false">TEXT(A168,"dddd")</f>
        <v>Saturday</v>
      </c>
      <c r="L168" s="17" t="str">
        <f aca="false">IF(AND(A168&gt;=DATE(2014,9,24),A168&lt;=DATE(2014,10,6)),"Promo 1",IF(AND(A168&gt;=DATE(2014,9,10),A168&lt;=DATE(2014,9,23)),"Baseline 1",IF(AND(A168&gt;=DATE(2015,9,23),A168&lt;=DATE(2015,10,6)),"Promo 2",IF(AND(A168&gt;=DATE(2015,9,9),A168&lt;=DATE(2015,9,22)),"Baseline 2",IF(AND(A168&gt;=DATE(2016,6,23),A168&lt;=DATE(2016,7,6)),"Promo 3",IF(AND(A168&gt;=DATE(2016,6,9),A168&lt;=DATE(2016,6,22)),"Baseline 3","Other"))))))</f>
        <v>Other</v>
      </c>
    </row>
    <row r="169" customFormat="false" ht="15" hidden="false" customHeight="true" outlineLevel="0" collapsed="false">
      <c r="A169" s="12" t="n">
        <v>41805</v>
      </c>
      <c r="B169" s="13" t="n">
        <v>224232.121375095</v>
      </c>
      <c r="C169" s="13" t="n">
        <v>233554.032246434</v>
      </c>
      <c r="D169" s="14" t="n">
        <v>6991</v>
      </c>
      <c r="E169" s="15" t="n">
        <f aca="false">B169/D169</f>
        <v>32.0743987090681</v>
      </c>
      <c r="F169" s="15" t="n">
        <f aca="false">C169/D169</f>
        <v>33.4078146540458</v>
      </c>
      <c r="G169" s="13" t="n">
        <f aca="false">B169-C169</f>
        <v>-9321.910871339</v>
      </c>
      <c r="H169" s="16" t="n">
        <f aca="false">G169/B169</f>
        <v>-0.0415725936773587</v>
      </c>
      <c r="I169" s="15" t="n">
        <f aca="false">G169/D169</f>
        <v>-1.33341594497769</v>
      </c>
      <c r="J169" s="16" t="n">
        <f aca="false">I169/E169</f>
        <v>-0.0415725936773587</v>
      </c>
      <c r="K169" s="17" t="str">
        <f aca="false">TEXT(A169,"dddd")</f>
        <v>Sunday</v>
      </c>
      <c r="L169" s="17" t="str">
        <f aca="false">IF(AND(A169&gt;=DATE(2014,9,24),A169&lt;=DATE(2014,10,6)),"Promo 1",IF(AND(A169&gt;=DATE(2014,9,10),A169&lt;=DATE(2014,9,23)),"Baseline 1",IF(AND(A169&gt;=DATE(2015,9,23),A169&lt;=DATE(2015,10,6)),"Promo 2",IF(AND(A169&gt;=DATE(2015,9,9),A169&lt;=DATE(2015,9,22)),"Baseline 2",IF(AND(A169&gt;=DATE(2016,6,23),A169&lt;=DATE(2016,7,6)),"Promo 3",IF(AND(A169&gt;=DATE(2016,6,9),A169&lt;=DATE(2016,6,22)),"Baseline 3","Other"))))))</f>
        <v>Other</v>
      </c>
    </row>
    <row r="170" customFormat="false" ht="15" hidden="false" customHeight="true" outlineLevel="0" collapsed="false">
      <c r="A170" s="12" t="n">
        <v>41806</v>
      </c>
      <c r="B170" s="13" t="n">
        <v>185606.275014695</v>
      </c>
      <c r="C170" s="13" t="n">
        <v>193340.315365212</v>
      </c>
      <c r="D170" s="14" t="n">
        <v>5788</v>
      </c>
      <c r="E170" s="15" t="n">
        <f aca="false">B170/D170</f>
        <v>32.0674283024698</v>
      </c>
      <c r="F170" s="15" t="n">
        <f aca="false">C170/D170</f>
        <v>33.4036481280601</v>
      </c>
      <c r="G170" s="13" t="n">
        <f aca="false">B170-C170</f>
        <v>-7734.040350517</v>
      </c>
      <c r="H170" s="16" t="n">
        <f aca="false">G170/B170</f>
        <v>-0.0416690672225638</v>
      </c>
      <c r="I170" s="15" t="n">
        <f aca="false">G170/D170</f>
        <v>-1.33621982559036</v>
      </c>
      <c r="J170" s="16" t="n">
        <f aca="false">I170/E170</f>
        <v>-0.0416690672225638</v>
      </c>
      <c r="K170" s="17" t="str">
        <f aca="false">TEXT(A170,"dddd")</f>
        <v>Monday</v>
      </c>
      <c r="L170" s="17" t="str">
        <f aca="false">IF(AND(A170&gt;=DATE(2014,9,24),A170&lt;=DATE(2014,10,6)),"Promo 1",IF(AND(A170&gt;=DATE(2014,9,10),A170&lt;=DATE(2014,9,23)),"Baseline 1",IF(AND(A170&gt;=DATE(2015,9,23),A170&lt;=DATE(2015,10,6)),"Promo 2",IF(AND(A170&gt;=DATE(2015,9,9),A170&lt;=DATE(2015,9,22)),"Baseline 2",IF(AND(A170&gt;=DATE(2016,6,23),A170&lt;=DATE(2016,7,6)),"Promo 3",IF(AND(A170&gt;=DATE(2016,6,9),A170&lt;=DATE(2016,6,22)),"Baseline 3","Other"))))))</f>
        <v>Other</v>
      </c>
    </row>
    <row r="171" customFormat="false" ht="15" hidden="false" customHeight="true" outlineLevel="0" collapsed="false">
      <c r="A171" s="12" t="n">
        <v>41807</v>
      </c>
      <c r="B171" s="13" t="n">
        <v>212687.509414812</v>
      </c>
      <c r="C171" s="13" t="n">
        <v>221403.64501724</v>
      </c>
      <c r="D171" s="14" t="n">
        <v>6632</v>
      </c>
      <c r="E171" s="15" t="n">
        <f aca="false">B171/D171</f>
        <v>32.0698898393866</v>
      </c>
      <c r="F171" s="15" t="n">
        <f aca="false">C171/D171</f>
        <v>33.3841443029614</v>
      </c>
      <c r="G171" s="13" t="n">
        <f aca="false">B171-C171</f>
        <v>-8716.135602428</v>
      </c>
      <c r="H171" s="16" t="n">
        <f aca="false">G171/B171</f>
        <v>-0.040980947242316</v>
      </c>
      <c r="I171" s="15" t="n">
        <f aca="false">G171/D171</f>
        <v>-1.31425446357479</v>
      </c>
      <c r="J171" s="16" t="n">
        <f aca="false">I171/E171</f>
        <v>-0.040980947242316</v>
      </c>
      <c r="K171" s="17" t="str">
        <f aca="false">TEXT(A171,"dddd")</f>
        <v>Tuesday</v>
      </c>
      <c r="L171" s="17" t="str">
        <f aca="false">IF(AND(A171&gt;=DATE(2014,9,24),A171&lt;=DATE(2014,10,6)),"Promo 1",IF(AND(A171&gt;=DATE(2014,9,10),A171&lt;=DATE(2014,9,23)),"Baseline 1",IF(AND(A171&gt;=DATE(2015,9,23),A171&lt;=DATE(2015,10,6)),"Promo 2",IF(AND(A171&gt;=DATE(2015,9,9),A171&lt;=DATE(2015,9,22)),"Baseline 2",IF(AND(A171&gt;=DATE(2016,6,23),A171&lt;=DATE(2016,7,6)),"Promo 3",IF(AND(A171&gt;=DATE(2016,6,9),A171&lt;=DATE(2016,6,22)),"Baseline 3","Other"))))))</f>
        <v>Other</v>
      </c>
    </row>
    <row r="172" customFormat="false" ht="15" hidden="false" customHeight="true" outlineLevel="0" collapsed="false">
      <c r="A172" s="12" t="n">
        <v>41808</v>
      </c>
      <c r="B172" s="13" t="n">
        <v>184259.6924215</v>
      </c>
      <c r="C172" s="13" t="n">
        <v>192057.510847078</v>
      </c>
      <c r="D172" s="14" t="n">
        <v>5752</v>
      </c>
      <c r="E172" s="15" t="n">
        <f aca="false">B172/D172</f>
        <v>32.0340216309979</v>
      </c>
      <c r="F172" s="15" t="n">
        <f aca="false">C172/D172</f>
        <v>33.3896924282125</v>
      </c>
      <c r="G172" s="13" t="n">
        <f aca="false">B172-C172</f>
        <v>-7797.81842557801</v>
      </c>
      <c r="H172" s="16" t="n">
        <f aca="false">G172/B172</f>
        <v>-0.0423197191046007</v>
      </c>
      <c r="I172" s="15" t="n">
        <f aca="false">G172/D172</f>
        <v>-1.35567079721454</v>
      </c>
      <c r="J172" s="16" t="n">
        <f aca="false">I172/E172</f>
        <v>-0.0423197191046007</v>
      </c>
      <c r="K172" s="17" t="str">
        <f aca="false">TEXT(A172,"dddd")</f>
        <v>Wednesday</v>
      </c>
      <c r="L172" s="17" t="str">
        <f aca="false">IF(AND(A172&gt;=DATE(2014,9,24),A172&lt;=DATE(2014,10,6)),"Promo 1",IF(AND(A172&gt;=DATE(2014,9,10),A172&lt;=DATE(2014,9,23)),"Baseline 1",IF(AND(A172&gt;=DATE(2015,9,23),A172&lt;=DATE(2015,10,6)),"Promo 2",IF(AND(A172&gt;=DATE(2015,9,9),A172&lt;=DATE(2015,9,22)),"Baseline 2",IF(AND(A172&gt;=DATE(2016,6,23),A172&lt;=DATE(2016,7,6)),"Promo 3",IF(AND(A172&gt;=DATE(2016,6,9),A172&lt;=DATE(2016,6,22)),"Baseline 3","Other"))))))</f>
        <v>Other</v>
      </c>
    </row>
    <row r="173" customFormat="false" ht="15" hidden="false" customHeight="true" outlineLevel="0" collapsed="false">
      <c r="A173" s="12" t="n">
        <v>41809</v>
      </c>
      <c r="B173" s="13" t="n">
        <v>113735.81615778</v>
      </c>
      <c r="C173" s="13" t="n">
        <v>119544.01976408</v>
      </c>
      <c r="D173" s="14" t="n">
        <v>3578</v>
      </c>
      <c r="E173" s="15" t="n">
        <f aca="false">B173/D173</f>
        <v>31.7875394515875</v>
      </c>
      <c r="F173" s="15" t="n">
        <f aca="false">C173/D173</f>
        <v>33.4108495707323</v>
      </c>
      <c r="G173" s="13" t="n">
        <f aca="false">B173-C173</f>
        <v>-5808.2036063</v>
      </c>
      <c r="H173" s="16" t="n">
        <f aca="false">G173/B173</f>
        <v>-0.0510674983704567</v>
      </c>
      <c r="I173" s="15" t="n">
        <f aca="false">G173/D173</f>
        <v>-1.62331011914477</v>
      </c>
      <c r="J173" s="16" t="n">
        <f aca="false">I173/E173</f>
        <v>-0.0510674983704567</v>
      </c>
      <c r="K173" s="17" t="str">
        <f aca="false">TEXT(A173,"dddd")</f>
        <v>Thursday</v>
      </c>
      <c r="L173" s="17" t="str">
        <f aca="false">IF(AND(A173&gt;=DATE(2014,9,24),A173&lt;=DATE(2014,10,6)),"Promo 1",IF(AND(A173&gt;=DATE(2014,9,10),A173&lt;=DATE(2014,9,23)),"Baseline 1",IF(AND(A173&gt;=DATE(2015,9,23),A173&lt;=DATE(2015,10,6)),"Promo 2",IF(AND(A173&gt;=DATE(2015,9,9),A173&lt;=DATE(2015,9,22)),"Baseline 2",IF(AND(A173&gt;=DATE(2016,6,23),A173&lt;=DATE(2016,7,6)),"Promo 3",IF(AND(A173&gt;=DATE(2016,6,9),A173&lt;=DATE(2016,6,22)),"Baseline 3","Other"))))))</f>
        <v>Other</v>
      </c>
    </row>
    <row r="174" customFormat="false" ht="15" hidden="false" customHeight="true" outlineLevel="0" collapsed="false">
      <c r="A174" s="12" t="n">
        <v>41810</v>
      </c>
      <c r="B174" s="13" t="n">
        <v>203165.08297514</v>
      </c>
      <c r="C174" s="13" t="n">
        <v>205350.643078722</v>
      </c>
      <c r="D174" s="14" t="n">
        <v>6119</v>
      </c>
      <c r="E174" s="15" t="n">
        <f aca="false">B174/D174</f>
        <v>33.2023342008727</v>
      </c>
      <c r="F174" s="15" t="n">
        <f aca="false">C174/D174</f>
        <v>33.5595102269524</v>
      </c>
      <c r="G174" s="13" t="n">
        <f aca="false">B174-C174</f>
        <v>-2185.56010358201</v>
      </c>
      <c r="H174" s="16" t="n">
        <f aca="false">G174/B174</f>
        <v>-0.010757557704192</v>
      </c>
      <c r="I174" s="15" t="n">
        <f aca="false">G174/D174</f>
        <v>-0.357176026079754</v>
      </c>
      <c r="J174" s="16" t="n">
        <f aca="false">I174/E174</f>
        <v>-0.010757557704192</v>
      </c>
      <c r="K174" s="17" t="str">
        <f aca="false">TEXT(A174,"dddd")</f>
        <v>Friday</v>
      </c>
      <c r="L174" s="17" t="str">
        <f aca="false">IF(AND(A174&gt;=DATE(2014,9,24),A174&lt;=DATE(2014,10,6)),"Promo 1",IF(AND(A174&gt;=DATE(2014,9,10),A174&lt;=DATE(2014,9,23)),"Baseline 1",IF(AND(A174&gt;=DATE(2015,9,23),A174&lt;=DATE(2015,10,6)),"Promo 2",IF(AND(A174&gt;=DATE(2015,9,9),A174&lt;=DATE(2015,9,22)),"Baseline 2",IF(AND(A174&gt;=DATE(2016,6,23),A174&lt;=DATE(2016,7,6)),"Promo 3",IF(AND(A174&gt;=DATE(2016,6,9),A174&lt;=DATE(2016,6,22)),"Baseline 3","Other"))))))</f>
        <v>Other</v>
      </c>
    </row>
    <row r="175" customFormat="false" ht="15" hidden="false" customHeight="true" outlineLevel="0" collapsed="false">
      <c r="A175" s="12" t="n">
        <v>41811</v>
      </c>
      <c r="B175" s="13" t="n">
        <v>203345.244564755</v>
      </c>
      <c r="C175" s="13" t="n">
        <v>206918.912593866</v>
      </c>
      <c r="D175" s="14" t="n">
        <v>6161</v>
      </c>
      <c r="E175" s="15" t="n">
        <f aca="false">B175/D175</f>
        <v>33.0052336576457</v>
      </c>
      <c r="F175" s="15" t="n">
        <f aca="false">C175/D175</f>
        <v>33.5852804080289</v>
      </c>
      <c r="G175" s="13" t="n">
        <f aca="false">B175-C175</f>
        <v>-3573.668029111</v>
      </c>
      <c r="H175" s="16" t="n">
        <f aca="false">G175/B175</f>
        <v>-0.0175743870320654</v>
      </c>
      <c r="I175" s="15" t="n">
        <f aca="false">G175/D175</f>
        <v>-0.580046750383216</v>
      </c>
      <c r="J175" s="16" t="n">
        <f aca="false">I175/E175</f>
        <v>-0.0175743870320654</v>
      </c>
      <c r="K175" s="17" t="str">
        <f aca="false">TEXT(A175,"dddd")</f>
        <v>Saturday</v>
      </c>
      <c r="L175" s="17" t="str">
        <f aca="false">IF(AND(A175&gt;=DATE(2014,9,24),A175&lt;=DATE(2014,10,6)),"Promo 1",IF(AND(A175&gt;=DATE(2014,9,10),A175&lt;=DATE(2014,9,23)),"Baseline 1",IF(AND(A175&gt;=DATE(2015,9,23),A175&lt;=DATE(2015,10,6)),"Promo 2",IF(AND(A175&gt;=DATE(2015,9,9),A175&lt;=DATE(2015,9,22)),"Baseline 2",IF(AND(A175&gt;=DATE(2016,6,23),A175&lt;=DATE(2016,7,6)),"Promo 3",IF(AND(A175&gt;=DATE(2016,6,9),A175&lt;=DATE(2016,6,22)),"Baseline 3","Other"))))))</f>
        <v>Other</v>
      </c>
    </row>
    <row r="176" customFormat="false" ht="15" hidden="false" customHeight="true" outlineLevel="0" collapsed="false">
      <c r="A176" s="12" t="n">
        <v>41812</v>
      </c>
      <c r="B176" s="13" t="n">
        <v>134944.488966956</v>
      </c>
      <c r="C176" s="13" t="n">
        <v>135372.527025031</v>
      </c>
      <c r="D176" s="14" t="n">
        <v>4015</v>
      </c>
      <c r="E176" s="15" t="n">
        <f aca="false">B176/D176</f>
        <v>33.6100844251447</v>
      </c>
      <c r="F176" s="15" t="n">
        <f aca="false">C176/D176</f>
        <v>33.7166941531833</v>
      </c>
      <c r="G176" s="13" t="n">
        <f aca="false">B176-C176</f>
        <v>-428.038058075006</v>
      </c>
      <c r="H176" s="16" t="n">
        <f aca="false">G176/B176</f>
        <v>-0.00317195656785821</v>
      </c>
      <c r="I176" s="15" t="n">
        <f aca="false">G176/D176</f>
        <v>-0.106609728038607</v>
      </c>
      <c r="J176" s="16" t="n">
        <f aca="false">I176/E176</f>
        <v>-0.00317195656785821</v>
      </c>
      <c r="K176" s="17" t="str">
        <f aca="false">TEXT(A176,"dddd")</f>
        <v>Sunday</v>
      </c>
      <c r="L176" s="17" t="str">
        <f aca="false">IF(AND(A176&gt;=DATE(2014,9,24),A176&lt;=DATE(2014,10,6)),"Promo 1",IF(AND(A176&gt;=DATE(2014,9,10),A176&lt;=DATE(2014,9,23)),"Baseline 1",IF(AND(A176&gt;=DATE(2015,9,23),A176&lt;=DATE(2015,10,6)),"Promo 2",IF(AND(A176&gt;=DATE(2015,9,9),A176&lt;=DATE(2015,9,22)),"Baseline 2",IF(AND(A176&gt;=DATE(2016,6,23),A176&lt;=DATE(2016,7,6)),"Promo 3",IF(AND(A176&gt;=DATE(2016,6,9),A176&lt;=DATE(2016,6,22)),"Baseline 3","Other"))))))</f>
        <v>Other</v>
      </c>
    </row>
    <row r="177" customFormat="false" ht="15" hidden="false" customHeight="true" outlineLevel="0" collapsed="false">
      <c r="A177" s="12" t="n">
        <v>41813</v>
      </c>
      <c r="B177" s="13" t="n">
        <v>138298.210244966</v>
      </c>
      <c r="C177" s="13" t="n">
        <v>139206.026890081</v>
      </c>
      <c r="D177" s="14" t="n">
        <v>4133</v>
      </c>
      <c r="E177" s="15" t="n">
        <f aca="false">B177/D177</f>
        <v>33.4619429578916</v>
      </c>
      <c r="F177" s="15" t="n">
        <f aca="false">C177/D177</f>
        <v>33.6815937309656</v>
      </c>
      <c r="G177" s="13" t="n">
        <f aca="false">B177-C177</f>
        <v>-907.816645115003</v>
      </c>
      <c r="H177" s="16" t="n">
        <f aca="false">G177/B177</f>
        <v>-0.00656419662631207</v>
      </c>
      <c r="I177" s="15" t="n">
        <f aca="false">G177/D177</f>
        <v>-0.219650773074039</v>
      </c>
      <c r="J177" s="16" t="n">
        <f aca="false">I177/E177</f>
        <v>-0.00656419662631207</v>
      </c>
      <c r="K177" s="17" t="str">
        <f aca="false">TEXT(A177,"dddd")</f>
        <v>Monday</v>
      </c>
      <c r="L177" s="17" t="str">
        <f aca="false">IF(AND(A177&gt;=DATE(2014,9,24),A177&lt;=DATE(2014,10,6)),"Promo 1",IF(AND(A177&gt;=DATE(2014,9,10),A177&lt;=DATE(2014,9,23)),"Baseline 1",IF(AND(A177&gt;=DATE(2015,9,23),A177&lt;=DATE(2015,10,6)),"Promo 2",IF(AND(A177&gt;=DATE(2015,9,9),A177&lt;=DATE(2015,9,22)),"Baseline 2",IF(AND(A177&gt;=DATE(2016,6,23),A177&lt;=DATE(2016,7,6)),"Promo 3",IF(AND(A177&gt;=DATE(2016,6,9),A177&lt;=DATE(2016,6,22)),"Baseline 3","Other"))))))</f>
        <v>Other</v>
      </c>
    </row>
    <row r="178" customFormat="false" ht="15" hidden="false" customHeight="true" outlineLevel="0" collapsed="false">
      <c r="A178" s="12" t="n">
        <v>41814</v>
      </c>
      <c r="B178" s="13" t="n">
        <v>36692.6798619005</v>
      </c>
      <c r="C178" s="13" t="n">
        <v>35299.0642352032</v>
      </c>
      <c r="D178" s="14" t="n">
        <v>1047</v>
      </c>
      <c r="E178" s="15" t="n">
        <f aca="false">B178/D178</f>
        <v>35.0455395051581</v>
      </c>
      <c r="F178" s="15" t="n">
        <f aca="false">C178/D178</f>
        <v>33.7144835102227</v>
      </c>
      <c r="G178" s="13" t="n">
        <f aca="false">B178-C178</f>
        <v>1393.6156266973</v>
      </c>
      <c r="H178" s="16" t="n">
        <f aca="false">G178/B178</f>
        <v>0.037980753434811</v>
      </c>
      <c r="I178" s="15" t="n">
        <f aca="false">G178/D178</f>
        <v>1.33105599493534</v>
      </c>
      <c r="J178" s="16" t="n">
        <f aca="false">I178/E178</f>
        <v>0.037980753434811</v>
      </c>
      <c r="K178" s="17" t="str">
        <f aca="false">TEXT(A178,"dddd")</f>
        <v>Tuesday</v>
      </c>
      <c r="L178" s="17" t="str">
        <f aca="false">IF(AND(A178&gt;=DATE(2014,9,24),A178&lt;=DATE(2014,10,6)),"Promo 1",IF(AND(A178&gt;=DATE(2014,9,10),A178&lt;=DATE(2014,9,23)),"Baseline 1",IF(AND(A178&gt;=DATE(2015,9,23),A178&lt;=DATE(2015,10,6)),"Promo 2",IF(AND(A178&gt;=DATE(2015,9,9),A178&lt;=DATE(2015,9,22)),"Baseline 2",IF(AND(A178&gt;=DATE(2016,6,23),A178&lt;=DATE(2016,7,6)),"Promo 3",IF(AND(A178&gt;=DATE(2016,6,9),A178&lt;=DATE(2016,6,22)),"Baseline 3","Other"))))))</f>
        <v>Other</v>
      </c>
    </row>
    <row r="179" customFormat="false" ht="15" hidden="false" customHeight="true" outlineLevel="0" collapsed="false">
      <c r="A179" s="12" t="n">
        <v>41815</v>
      </c>
      <c r="B179" s="13" t="n">
        <v>56077.5426921307</v>
      </c>
      <c r="C179" s="13" t="n">
        <v>53925.2576310377</v>
      </c>
      <c r="D179" s="14" t="n">
        <v>1601</v>
      </c>
      <c r="E179" s="15" t="n">
        <f aca="false">B179/D179</f>
        <v>35.0265725747225</v>
      </c>
      <c r="F179" s="15" t="n">
        <f aca="false">C179/D179</f>
        <v>33.6822346227593</v>
      </c>
      <c r="G179" s="13" t="n">
        <f aca="false">B179-C179</f>
        <v>2152.285061093</v>
      </c>
      <c r="H179" s="16" t="n">
        <f aca="false">G179/B179</f>
        <v>0.0383805166519009</v>
      </c>
      <c r="I179" s="15" t="n">
        <f aca="false">G179/D179</f>
        <v>1.34433795196315</v>
      </c>
      <c r="J179" s="16" t="n">
        <f aca="false">I179/E179</f>
        <v>0.0383805166519009</v>
      </c>
      <c r="K179" s="17" t="str">
        <f aca="false">TEXT(A179,"dddd")</f>
        <v>Wednesday</v>
      </c>
      <c r="L179" s="17" t="str">
        <f aca="false">IF(AND(A179&gt;=DATE(2014,9,24),A179&lt;=DATE(2014,10,6)),"Promo 1",IF(AND(A179&gt;=DATE(2014,9,10),A179&lt;=DATE(2014,9,23)),"Baseline 1",IF(AND(A179&gt;=DATE(2015,9,23),A179&lt;=DATE(2015,10,6)),"Promo 2",IF(AND(A179&gt;=DATE(2015,9,9),A179&lt;=DATE(2015,9,22)),"Baseline 2",IF(AND(A179&gt;=DATE(2016,6,23),A179&lt;=DATE(2016,7,6)),"Promo 3",IF(AND(A179&gt;=DATE(2016,6,9),A179&lt;=DATE(2016,6,22)),"Baseline 3","Other"))))))</f>
        <v>Other</v>
      </c>
    </row>
    <row r="180" customFormat="false" ht="15" hidden="false" customHeight="true" outlineLevel="0" collapsed="false">
      <c r="A180" s="12" t="n">
        <v>41816</v>
      </c>
      <c r="B180" s="13" t="n">
        <v>55780.7074523407</v>
      </c>
      <c r="C180" s="13" t="n">
        <v>53688.2411950507</v>
      </c>
      <c r="D180" s="14" t="n">
        <v>1592</v>
      </c>
      <c r="E180" s="15" t="n">
        <f aca="false">B180/D180</f>
        <v>35.038132821822</v>
      </c>
      <c r="F180" s="15" t="n">
        <f aca="false">C180/D180</f>
        <v>33.7237695948811</v>
      </c>
      <c r="G180" s="13" t="n">
        <f aca="false">B180-C180</f>
        <v>2092.46625729</v>
      </c>
      <c r="H180" s="16" t="n">
        <f aca="false">G180/B180</f>
        <v>0.0375123649888774</v>
      </c>
      <c r="I180" s="15" t="n">
        <f aca="false">G180/D180</f>
        <v>1.31436322694095</v>
      </c>
      <c r="J180" s="16" t="n">
        <f aca="false">I180/E180</f>
        <v>0.0375123649888774</v>
      </c>
      <c r="K180" s="17" t="str">
        <f aca="false">TEXT(A180,"dddd")</f>
        <v>Thursday</v>
      </c>
      <c r="L180" s="17" t="str">
        <f aca="false">IF(AND(A180&gt;=DATE(2014,9,24),A180&lt;=DATE(2014,10,6)),"Promo 1",IF(AND(A180&gt;=DATE(2014,9,10),A180&lt;=DATE(2014,9,23)),"Baseline 1",IF(AND(A180&gt;=DATE(2015,9,23),A180&lt;=DATE(2015,10,6)),"Promo 2",IF(AND(A180&gt;=DATE(2015,9,9),A180&lt;=DATE(2015,9,22)),"Baseline 2",IF(AND(A180&gt;=DATE(2016,6,23),A180&lt;=DATE(2016,7,6)),"Promo 3",IF(AND(A180&gt;=DATE(2016,6,9),A180&lt;=DATE(2016,6,22)),"Baseline 3","Other"))))))</f>
        <v>Other</v>
      </c>
    </row>
    <row r="181" customFormat="false" ht="15" hidden="false" customHeight="true" outlineLevel="0" collapsed="false">
      <c r="A181" s="12" t="n">
        <v>41817</v>
      </c>
      <c r="B181" s="13" t="n">
        <v>131721.238316789</v>
      </c>
      <c r="C181" s="13" t="n">
        <v>127302.427134721</v>
      </c>
      <c r="D181" s="14" t="n">
        <v>3759</v>
      </c>
      <c r="E181" s="15" t="n">
        <f aca="false">B181/D181</f>
        <v>35.0415637980285</v>
      </c>
      <c r="F181" s="15" t="n">
        <f aca="false">C181/D181</f>
        <v>33.8660354175901</v>
      </c>
      <c r="G181" s="13" t="n">
        <f aca="false">B181-C181</f>
        <v>4418.81118206801</v>
      </c>
      <c r="H181" s="16" t="n">
        <f aca="false">G181/B181</f>
        <v>0.0335466872201792</v>
      </c>
      <c r="I181" s="15" t="n">
        <f aca="false">G181/D181</f>
        <v>1.17552838043842</v>
      </c>
      <c r="J181" s="16" t="n">
        <f aca="false">I181/E181</f>
        <v>0.0335466872201792</v>
      </c>
      <c r="K181" s="17" t="str">
        <f aca="false">TEXT(A181,"dddd")</f>
        <v>Friday</v>
      </c>
      <c r="L181" s="17" t="str">
        <f aca="false">IF(AND(A181&gt;=DATE(2014,9,24),A181&lt;=DATE(2014,10,6)),"Promo 1",IF(AND(A181&gt;=DATE(2014,9,10),A181&lt;=DATE(2014,9,23)),"Baseline 1",IF(AND(A181&gt;=DATE(2015,9,23),A181&lt;=DATE(2015,10,6)),"Promo 2",IF(AND(A181&gt;=DATE(2015,9,9),A181&lt;=DATE(2015,9,22)),"Baseline 2",IF(AND(A181&gt;=DATE(2016,6,23),A181&lt;=DATE(2016,7,6)),"Promo 3",IF(AND(A181&gt;=DATE(2016,6,9),A181&lt;=DATE(2016,6,22)),"Baseline 3","Other"))))))</f>
        <v>Other</v>
      </c>
    </row>
    <row r="182" customFormat="false" ht="15" hidden="false" customHeight="true" outlineLevel="0" collapsed="false">
      <c r="A182" s="12" t="n">
        <v>41818</v>
      </c>
      <c r="B182" s="13" t="n">
        <v>146169.076571953</v>
      </c>
      <c r="C182" s="13" t="n">
        <v>141012.32941185</v>
      </c>
      <c r="D182" s="14" t="n">
        <v>4172</v>
      </c>
      <c r="E182" s="15" t="n">
        <f aca="false">B182/D182</f>
        <v>35.0357326394902</v>
      </c>
      <c r="F182" s="15" t="n">
        <f aca="false">C182/D182</f>
        <v>33.7996954486697</v>
      </c>
      <c r="G182" s="13" t="n">
        <f aca="false">B182-C182</f>
        <v>5156.747160103</v>
      </c>
      <c r="H182" s="16" t="n">
        <f aca="false">G182/B182</f>
        <v>0.0352793304920726</v>
      </c>
      <c r="I182" s="15" t="n">
        <f aca="false">G182/D182</f>
        <v>1.23603719082047</v>
      </c>
      <c r="J182" s="16" t="n">
        <f aca="false">I182/E182</f>
        <v>0.0352793304920726</v>
      </c>
      <c r="K182" s="17" t="str">
        <f aca="false">TEXT(A182,"dddd")</f>
        <v>Saturday</v>
      </c>
      <c r="L182" s="17" t="str">
        <f aca="false">IF(AND(A182&gt;=DATE(2014,9,24),A182&lt;=DATE(2014,10,6)),"Promo 1",IF(AND(A182&gt;=DATE(2014,9,10),A182&lt;=DATE(2014,9,23)),"Baseline 1",IF(AND(A182&gt;=DATE(2015,9,23),A182&lt;=DATE(2015,10,6)),"Promo 2",IF(AND(A182&gt;=DATE(2015,9,9),A182&lt;=DATE(2015,9,22)),"Baseline 2",IF(AND(A182&gt;=DATE(2016,6,23),A182&lt;=DATE(2016,7,6)),"Promo 3",IF(AND(A182&gt;=DATE(2016,6,9),A182&lt;=DATE(2016,6,22)),"Baseline 3","Other"))))))</f>
        <v>Other</v>
      </c>
    </row>
    <row r="183" customFormat="false" ht="15" hidden="false" customHeight="true" outlineLevel="0" collapsed="false">
      <c r="A183" s="12" t="n">
        <v>41819</v>
      </c>
      <c r="B183" s="13" t="n">
        <v>62073.585412981</v>
      </c>
      <c r="C183" s="13" t="n">
        <v>60083.8698368674</v>
      </c>
      <c r="D183" s="14" t="n">
        <v>1772</v>
      </c>
      <c r="E183" s="15" t="n">
        <f aca="false">B183/D183</f>
        <v>35.0302400750457</v>
      </c>
      <c r="F183" s="15" t="n">
        <f aca="false">C183/D183</f>
        <v>33.9073757544398</v>
      </c>
      <c r="G183" s="13" t="n">
        <f aca="false">B183-C183</f>
        <v>1989.7155761136</v>
      </c>
      <c r="H183" s="16" t="n">
        <f aca="false">G183/B183</f>
        <v>0.0320541428834157</v>
      </c>
      <c r="I183" s="15" t="n">
        <f aca="false">G183/D183</f>
        <v>1.12286432060587</v>
      </c>
      <c r="J183" s="16" t="n">
        <f aca="false">I183/E183</f>
        <v>0.0320541428834157</v>
      </c>
      <c r="K183" s="17" t="str">
        <f aca="false">TEXT(A183,"dddd")</f>
        <v>Sunday</v>
      </c>
      <c r="L183" s="17" t="str">
        <f aca="false">IF(AND(A183&gt;=DATE(2014,9,24),A183&lt;=DATE(2014,10,6)),"Promo 1",IF(AND(A183&gt;=DATE(2014,9,10),A183&lt;=DATE(2014,9,23)),"Baseline 1",IF(AND(A183&gt;=DATE(2015,9,23),A183&lt;=DATE(2015,10,6)),"Promo 2",IF(AND(A183&gt;=DATE(2015,9,9),A183&lt;=DATE(2015,9,22)),"Baseline 2",IF(AND(A183&gt;=DATE(2016,6,23),A183&lt;=DATE(2016,7,6)),"Promo 3",IF(AND(A183&gt;=DATE(2016,6,9),A183&lt;=DATE(2016,6,22)),"Baseline 3","Other"))))))</f>
        <v>Other</v>
      </c>
    </row>
    <row r="184" customFormat="false" ht="15" hidden="false" customHeight="true" outlineLevel="0" collapsed="false">
      <c r="A184" s="12" t="n">
        <v>41820</v>
      </c>
      <c r="B184" s="13" t="n">
        <v>93619.8469912957</v>
      </c>
      <c r="C184" s="13" t="n">
        <v>90294.3760876883</v>
      </c>
      <c r="D184" s="14" t="n">
        <v>2672</v>
      </c>
      <c r="E184" s="15" t="n">
        <f aca="false">B184/D184</f>
        <v>35.037367885964</v>
      </c>
      <c r="F184" s="15" t="n">
        <f aca="false">C184/D184</f>
        <v>33.792805422039</v>
      </c>
      <c r="G184" s="13" t="n">
        <f aca="false">B184-C184</f>
        <v>3325.47090360739</v>
      </c>
      <c r="H184" s="16" t="n">
        <f aca="false">G184/B184</f>
        <v>0.0355210034034405</v>
      </c>
      <c r="I184" s="15" t="n">
        <f aca="false">G184/D184</f>
        <v>1.24456246392492</v>
      </c>
      <c r="J184" s="16" t="n">
        <f aca="false">I184/E184</f>
        <v>0.0355210034034405</v>
      </c>
      <c r="K184" s="17" t="str">
        <f aca="false">TEXT(A184,"dddd")</f>
        <v>Monday</v>
      </c>
      <c r="L184" s="17" t="str">
        <f aca="false">IF(AND(A184&gt;=DATE(2014,9,24),A184&lt;=DATE(2014,10,6)),"Promo 1",IF(AND(A184&gt;=DATE(2014,9,10),A184&lt;=DATE(2014,9,23)),"Baseline 1",IF(AND(A184&gt;=DATE(2015,9,23),A184&lt;=DATE(2015,10,6)),"Promo 2",IF(AND(A184&gt;=DATE(2015,9,9),A184&lt;=DATE(2015,9,22)),"Baseline 2",IF(AND(A184&gt;=DATE(2016,6,23),A184&lt;=DATE(2016,7,6)),"Promo 3",IF(AND(A184&gt;=DATE(2016,6,9),A184&lt;=DATE(2016,6,22)),"Baseline 3","Other"))))))</f>
        <v>Other</v>
      </c>
    </row>
    <row r="185" customFormat="false" ht="15" hidden="false" customHeight="true" outlineLevel="0" collapsed="false">
      <c r="A185" s="12" t="n">
        <v>41821</v>
      </c>
      <c r="B185" s="13" t="n">
        <v>180183.031356011</v>
      </c>
      <c r="C185" s="13" t="n">
        <v>173842.920925906</v>
      </c>
      <c r="D185" s="14" t="n">
        <v>5143</v>
      </c>
      <c r="E185" s="15" t="n">
        <f aca="false">B185/D185</f>
        <v>35.0346162465509</v>
      </c>
      <c r="F185" s="15" t="n">
        <f aca="false">C185/D185</f>
        <v>33.8018512397251</v>
      </c>
      <c r="G185" s="13" t="n">
        <f aca="false">B185-C185</f>
        <v>6340.11043010501</v>
      </c>
      <c r="H185" s="16" t="n">
        <f aca="false">G185/B185</f>
        <v>0.0351870560861973</v>
      </c>
      <c r="I185" s="15" t="n">
        <f aca="false">G185/D185</f>
        <v>1.23276500682578</v>
      </c>
      <c r="J185" s="16" t="n">
        <f aca="false">I185/E185</f>
        <v>0.0351870560861973</v>
      </c>
      <c r="K185" s="17" t="str">
        <f aca="false">TEXT(A185,"dddd")</f>
        <v>Tuesday</v>
      </c>
      <c r="L185" s="17" t="str">
        <f aca="false">IF(AND(A185&gt;=DATE(2014,9,24),A185&lt;=DATE(2014,10,6)),"Promo 1",IF(AND(A185&gt;=DATE(2014,9,10),A185&lt;=DATE(2014,9,23)),"Baseline 1",IF(AND(A185&gt;=DATE(2015,9,23),A185&lt;=DATE(2015,10,6)),"Promo 2",IF(AND(A185&gt;=DATE(2015,9,9),A185&lt;=DATE(2015,9,22)),"Baseline 2",IF(AND(A185&gt;=DATE(2016,6,23),A185&lt;=DATE(2016,7,6)),"Promo 3",IF(AND(A185&gt;=DATE(2016,6,9),A185&lt;=DATE(2016,6,22)),"Baseline 3","Other"))))))</f>
        <v>Other</v>
      </c>
    </row>
    <row r="186" customFormat="false" ht="15" hidden="false" customHeight="true" outlineLevel="0" collapsed="false">
      <c r="A186" s="12" t="n">
        <v>41822</v>
      </c>
      <c r="B186" s="13" t="n">
        <v>104760.70623579</v>
      </c>
      <c r="C186" s="13" t="n">
        <v>101615.732015736</v>
      </c>
      <c r="D186" s="14" t="n">
        <v>2990</v>
      </c>
      <c r="E186" s="15" t="n">
        <f aca="false">B186/D186</f>
        <v>35.0370254969197</v>
      </c>
      <c r="F186" s="15" t="n">
        <f aca="false">C186/D186</f>
        <v>33.9851946540923</v>
      </c>
      <c r="G186" s="13" t="n">
        <f aca="false">B186-C186</f>
        <v>3144.97422005401</v>
      </c>
      <c r="H186" s="16" t="n">
        <f aca="false">G186/B186</f>
        <v>0.0300205519135721</v>
      </c>
      <c r="I186" s="15" t="n">
        <f aca="false">G186/D186</f>
        <v>1.05183084282743</v>
      </c>
      <c r="J186" s="16" t="n">
        <f aca="false">I186/E186</f>
        <v>0.0300205519135721</v>
      </c>
      <c r="K186" s="17" t="str">
        <f aca="false">TEXT(A186,"dddd")</f>
        <v>Wednesday</v>
      </c>
      <c r="L186" s="17" t="str">
        <f aca="false">IF(AND(A186&gt;=DATE(2014,9,24),A186&lt;=DATE(2014,10,6)),"Promo 1",IF(AND(A186&gt;=DATE(2014,9,10),A186&lt;=DATE(2014,9,23)),"Baseline 1",IF(AND(A186&gt;=DATE(2015,9,23),A186&lt;=DATE(2015,10,6)),"Promo 2",IF(AND(A186&gt;=DATE(2015,9,9),A186&lt;=DATE(2015,9,22)),"Baseline 2",IF(AND(A186&gt;=DATE(2016,6,23),A186&lt;=DATE(2016,7,6)),"Promo 3",IF(AND(A186&gt;=DATE(2016,6,9),A186&lt;=DATE(2016,6,22)),"Baseline 3","Other"))))))</f>
        <v>Other</v>
      </c>
    </row>
    <row r="187" customFormat="false" ht="15" hidden="false" customHeight="true" outlineLevel="0" collapsed="false">
      <c r="A187" s="12" t="n">
        <v>41823</v>
      </c>
      <c r="B187" s="13" t="n">
        <v>93450.5336849105</v>
      </c>
      <c r="C187" s="13" t="n">
        <v>90927.0896576477</v>
      </c>
      <c r="D187" s="14" t="n">
        <v>2667</v>
      </c>
      <c r="E187" s="15" t="n">
        <f aca="false">B187/D187</f>
        <v>35.0395701855682</v>
      </c>
      <c r="F187" s="15" t="n">
        <f aca="false">C187/D187</f>
        <v>34.0933969469995</v>
      </c>
      <c r="G187" s="13" t="n">
        <f aca="false">B187-C187</f>
        <v>2523.4440272628</v>
      </c>
      <c r="H187" s="16" t="n">
        <f aca="false">G187/B187</f>
        <v>0.0270029921473874</v>
      </c>
      <c r="I187" s="15" t="n">
        <f aca="false">G187/D187</f>
        <v>0.946173238568728</v>
      </c>
      <c r="J187" s="16" t="n">
        <f aca="false">I187/E187</f>
        <v>0.0270029921473874</v>
      </c>
      <c r="K187" s="17" t="str">
        <f aca="false">TEXT(A187,"dddd")</f>
        <v>Thursday</v>
      </c>
      <c r="L187" s="17" t="str">
        <f aca="false">IF(AND(A187&gt;=DATE(2014,9,24),A187&lt;=DATE(2014,10,6)),"Promo 1",IF(AND(A187&gt;=DATE(2014,9,10),A187&lt;=DATE(2014,9,23)),"Baseline 1",IF(AND(A187&gt;=DATE(2015,9,23),A187&lt;=DATE(2015,10,6)),"Promo 2",IF(AND(A187&gt;=DATE(2015,9,9),A187&lt;=DATE(2015,9,22)),"Baseline 2",IF(AND(A187&gt;=DATE(2016,6,23),A187&lt;=DATE(2016,7,6)),"Promo 3",IF(AND(A187&gt;=DATE(2016,6,9),A187&lt;=DATE(2016,6,22)),"Baseline 3","Other"))))))</f>
        <v>Other</v>
      </c>
    </row>
    <row r="188" customFormat="false" ht="15" hidden="false" customHeight="true" outlineLevel="0" collapsed="false">
      <c r="A188" s="12" t="n">
        <v>41824</v>
      </c>
      <c r="B188" s="13" t="n">
        <v>98087.5559039407</v>
      </c>
      <c r="C188" s="13" t="n">
        <v>95423.2739872272</v>
      </c>
      <c r="D188" s="14" t="n">
        <v>2799</v>
      </c>
      <c r="E188" s="15" t="n">
        <f aca="false">B188/D188</f>
        <v>35.0437856034086</v>
      </c>
      <c r="F188" s="15" t="n">
        <f aca="false">C188/D188</f>
        <v>34.0919163941505</v>
      </c>
      <c r="G188" s="13" t="n">
        <f aca="false">B188-C188</f>
        <v>2664.28191671349</v>
      </c>
      <c r="H188" s="16" t="n">
        <f aca="false">G188/B188</f>
        <v>0.0271622826377964</v>
      </c>
      <c r="I188" s="15" t="n">
        <f aca="false">G188/D188</f>
        <v>0.951869209258124</v>
      </c>
      <c r="J188" s="16" t="n">
        <f aca="false">I188/E188</f>
        <v>0.0271622826377964</v>
      </c>
      <c r="K188" s="17" t="str">
        <f aca="false">TEXT(A188,"dddd")</f>
        <v>Friday</v>
      </c>
      <c r="L188" s="17" t="str">
        <f aca="false">IF(AND(A188&gt;=DATE(2014,9,24),A188&lt;=DATE(2014,10,6)),"Promo 1",IF(AND(A188&gt;=DATE(2014,9,10),A188&lt;=DATE(2014,9,23)),"Baseline 1",IF(AND(A188&gt;=DATE(2015,9,23),A188&lt;=DATE(2015,10,6)),"Promo 2",IF(AND(A188&gt;=DATE(2015,9,9),A188&lt;=DATE(2015,9,22)),"Baseline 2",IF(AND(A188&gt;=DATE(2016,6,23),A188&lt;=DATE(2016,7,6)),"Promo 3",IF(AND(A188&gt;=DATE(2016,6,9),A188&lt;=DATE(2016,6,22)),"Baseline 3","Other"))))))</f>
        <v>Other</v>
      </c>
    </row>
    <row r="189" customFormat="false" ht="15" hidden="false" customHeight="true" outlineLevel="0" collapsed="false">
      <c r="A189" s="12" t="n">
        <v>41825</v>
      </c>
      <c r="B189" s="13" t="n">
        <v>117562.262905349</v>
      </c>
      <c r="C189" s="13" t="n">
        <v>114395.627627446</v>
      </c>
      <c r="D189" s="14" t="n">
        <v>3355</v>
      </c>
      <c r="E189" s="15" t="n">
        <f aca="false">B189/D189</f>
        <v>35.0409129375109</v>
      </c>
      <c r="F189" s="15" t="n">
        <f aca="false">C189/D189</f>
        <v>34.0970574150361</v>
      </c>
      <c r="G189" s="13" t="n">
        <f aca="false">B189-C189</f>
        <v>3166.635277903</v>
      </c>
      <c r="H189" s="16" t="n">
        <f aca="false">G189/B189</f>
        <v>0.0269358142625453</v>
      </c>
      <c r="I189" s="15" t="n">
        <f aca="false">G189/D189</f>
        <v>0.943855522474813</v>
      </c>
      <c r="J189" s="16" t="n">
        <f aca="false">I189/E189</f>
        <v>0.0269358142625453</v>
      </c>
      <c r="K189" s="17" t="str">
        <f aca="false">TEXT(A189,"dddd")</f>
        <v>Saturday</v>
      </c>
      <c r="L189" s="17" t="str">
        <f aca="false">IF(AND(A189&gt;=DATE(2014,9,24),A189&lt;=DATE(2014,10,6)),"Promo 1",IF(AND(A189&gt;=DATE(2014,9,10),A189&lt;=DATE(2014,9,23)),"Baseline 1",IF(AND(A189&gt;=DATE(2015,9,23),A189&lt;=DATE(2015,10,6)),"Promo 2",IF(AND(A189&gt;=DATE(2015,9,9),A189&lt;=DATE(2015,9,22)),"Baseline 2",IF(AND(A189&gt;=DATE(2016,6,23),A189&lt;=DATE(2016,7,6)),"Promo 3",IF(AND(A189&gt;=DATE(2016,6,9),A189&lt;=DATE(2016,6,22)),"Baseline 3","Other"))))))</f>
        <v>Other</v>
      </c>
    </row>
    <row r="190" customFormat="false" ht="15" hidden="false" customHeight="true" outlineLevel="0" collapsed="false">
      <c r="A190" s="12" t="n">
        <v>41826</v>
      </c>
      <c r="B190" s="13" t="n">
        <v>70153.0809721514</v>
      </c>
      <c r="C190" s="13" t="n">
        <v>68252.2422094887</v>
      </c>
      <c r="D190" s="14" t="n">
        <v>2002</v>
      </c>
      <c r="E190" s="15" t="n">
        <f aca="false">B190/D190</f>
        <v>35.0414989870886</v>
      </c>
      <c r="F190" s="15" t="n">
        <f aca="false">C190/D190</f>
        <v>34.0920290756687</v>
      </c>
      <c r="G190" s="13" t="n">
        <f aca="false">B190-C190</f>
        <v>1900.83876266269</v>
      </c>
      <c r="H190" s="16" t="n">
        <f aca="false">G190/B190</f>
        <v>0.0270955849168944</v>
      </c>
      <c r="I190" s="15" t="n">
        <f aca="false">G190/D190</f>
        <v>0.949469911419927</v>
      </c>
      <c r="J190" s="16" t="n">
        <f aca="false">I190/E190</f>
        <v>0.0270955849168944</v>
      </c>
      <c r="K190" s="17" t="str">
        <f aca="false">TEXT(A190,"dddd")</f>
        <v>Sunday</v>
      </c>
      <c r="L190" s="17" t="str">
        <f aca="false">IF(AND(A190&gt;=DATE(2014,9,24),A190&lt;=DATE(2014,10,6)),"Promo 1",IF(AND(A190&gt;=DATE(2014,9,10),A190&lt;=DATE(2014,9,23)),"Baseline 1",IF(AND(A190&gt;=DATE(2015,9,23),A190&lt;=DATE(2015,10,6)),"Promo 2",IF(AND(A190&gt;=DATE(2015,9,9),A190&lt;=DATE(2015,9,22)),"Baseline 2",IF(AND(A190&gt;=DATE(2016,6,23),A190&lt;=DATE(2016,7,6)),"Promo 3",IF(AND(A190&gt;=DATE(2016,6,9),A190&lt;=DATE(2016,6,22)),"Baseline 3","Other"))))))</f>
        <v>Other</v>
      </c>
    </row>
    <row r="191" customFormat="false" ht="15" hidden="false" customHeight="true" outlineLevel="0" collapsed="false">
      <c r="A191" s="12" t="n">
        <v>41827</v>
      </c>
      <c r="B191" s="13" t="n">
        <v>68918.4152874911</v>
      </c>
      <c r="C191" s="13" t="n">
        <v>66990.8813521521</v>
      </c>
      <c r="D191" s="14" t="n">
        <v>1967</v>
      </c>
      <c r="E191" s="15" t="n">
        <f aca="false">B191/D191</f>
        <v>35.0373234811851</v>
      </c>
      <c r="F191" s="15" t="n">
        <f aca="false">C191/D191</f>
        <v>34.0573875709975</v>
      </c>
      <c r="G191" s="13" t="n">
        <f aca="false">B191-C191</f>
        <v>1927.533935339</v>
      </c>
      <c r="H191" s="16" t="n">
        <f aca="false">G191/B191</f>
        <v>0.0279683438352195</v>
      </c>
      <c r="I191" s="15" t="n">
        <f aca="false">G191/D191</f>
        <v>0.979935910187596</v>
      </c>
      <c r="J191" s="16" t="n">
        <f aca="false">I191/E191</f>
        <v>0.0279683438352195</v>
      </c>
      <c r="K191" s="17" t="str">
        <f aca="false">TEXT(A191,"dddd")</f>
        <v>Monday</v>
      </c>
      <c r="L191" s="17" t="str">
        <f aca="false">IF(AND(A191&gt;=DATE(2014,9,24),A191&lt;=DATE(2014,10,6)),"Promo 1",IF(AND(A191&gt;=DATE(2014,9,10),A191&lt;=DATE(2014,9,23)),"Baseline 1",IF(AND(A191&gt;=DATE(2015,9,23),A191&lt;=DATE(2015,10,6)),"Promo 2",IF(AND(A191&gt;=DATE(2015,9,9),A191&lt;=DATE(2015,9,22)),"Baseline 2",IF(AND(A191&gt;=DATE(2016,6,23),A191&lt;=DATE(2016,7,6)),"Promo 3",IF(AND(A191&gt;=DATE(2016,6,9),A191&lt;=DATE(2016,6,22)),"Baseline 3","Other"))))))</f>
        <v>Other</v>
      </c>
    </row>
    <row r="192" customFormat="false" ht="15" hidden="false" customHeight="true" outlineLevel="0" collapsed="false">
      <c r="A192" s="12" t="n">
        <v>41828</v>
      </c>
      <c r="B192" s="13" t="n">
        <v>108417.40283336</v>
      </c>
      <c r="C192" s="13" t="n">
        <v>105373.300033371</v>
      </c>
      <c r="D192" s="14" t="n">
        <v>3094</v>
      </c>
      <c r="E192" s="15" t="n">
        <f aca="false">B192/D192</f>
        <v>35.0411773863478</v>
      </c>
      <c r="F192" s="15" t="n">
        <f aca="false">C192/D192</f>
        <v>34.0573044710314</v>
      </c>
      <c r="G192" s="13" t="n">
        <f aca="false">B192-C192</f>
        <v>3044.10279998901</v>
      </c>
      <c r="H192" s="16" t="n">
        <f aca="false">G192/B192</f>
        <v>0.0280776214928139</v>
      </c>
      <c r="I192" s="15" t="n">
        <f aca="false">G192/D192</f>
        <v>0.983872915316421</v>
      </c>
      <c r="J192" s="16" t="n">
        <f aca="false">I192/E192</f>
        <v>0.0280776214928139</v>
      </c>
      <c r="K192" s="17" t="str">
        <f aca="false">TEXT(A192,"dddd")</f>
        <v>Tuesday</v>
      </c>
      <c r="L192" s="17" t="str">
        <f aca="false">IF(AND(A192&gt;=DATE(2014,9,24),A192&lt;=DATE(2014,10,6)),"Promo 1",IF(AND(A192&gt;=DATE(2014,9,10),A192&lt;=DATE(2014,9,23)),"Baseline 1",IF(AND(A192&gt;=DATE(2015,9,23),A192&lt;=DATE(2015,10,6)),"Promo 2",IF(AND(A192&gt;=DATE(2015,9,9),A192&lt;=DATE(2015,9,22)),"Baseline 2",IF(AND(A192&gt;=DATE(2016,6,23),A192&lt;=DATE(2016,7,6)),"Promo 3",IF(AND(A192&gt;=DATE(2016,6,9),A192&lt;=DATE(2016,6,22)),"Baseline 3","Other"))))))</f>
        <v>Other</v>
      </c>
    </row>
    <row r="193" customFormat="false" ht="15" hidden="false" customHeight="true" outlineLevel="0" collapsed="false">
      <c r="A193" s="12" t="n">
        <v>41829</v>
      </c>
      <c r="B193" s="13" t="n">
        <v>81802.6082085011</v>
      </c>
      <c r="C193" s="13" t="n">
        <v>79496.4942439655</v>
      </c>
      <c r="D193" s="14" t="n">
        <v>2335</v>
      </c>
      <c r="E193" s="15" t="n">
        <f aca="false">B193/D193</f>
        <v>35.033236920129</v>
      </c>
      <c r="F193" s="15" t="n">
        <f aca="false">C193/D193</f>
        <v>34.0456078132615</v>
      </c>
      <c r="G193" s="13" t="n">
        <f aca="false">B193-C193</f>
        <v>2306.1139645356</v>
      </c>
      <c r="H193" s="16" t="n">
        <f aca="false">G193/B193</f>
        <v>0.0281912033740746</v>
      </c>
      <c r="I193" s="15" t="n">
        <f aca="false">G193/D193</f>
        <v>0.987629106867495</v>
      </c>
      <c r="J193" s="16" t="n">
        <f aca="false">I193/E193</f>
        <v>0.0281912033740746</v>
      </c>
      <c r="K193" s="17" t="str">
        <f aca="false">TEXT(A193,"dddd")</f>
        <v>Wednesday</v>
      </c>
      <c r="L193" s="17" t="str">
        <f aca="false">IF(AND(A193&gt;=DATE(2014,9,24),A193&lt;=DATE(2014,10,6)),"Promo 1",IF(AND(A193&gt;=DATE(2014,9,10),A193&lt;=DATE(2014,9,23)),"Baseline 1",IF(AND(A193&gt;=DATE(2015,9,23),A193&lt;=DATE(2015,10,6)),"Promo 2",IF(AND(A193&gt;=DATE(2015,9,9),A193&lt;=DATE(2015,9,22)),"Baseline 2",IF(AND(A193&gt;=DATE(2016,6,23),A193&lt;=DATE(2016,7,6)),"Promo 3",IF(AND(A193&gt;=DATE(2016,6,9),A193&lt;=DATE(2016,6,22)),"Baseline 3","Other"))))))</f>
        <v>Other</v>
      </c>
    </row>
    <row r="194" customFormat="false" ht="15" hidden="false" customHeight="true" outlineLevel="0" collapsed="false">
      <c r="A194" s="12" t="n">
        <v>41830</v>
      </c>
      <c r="B194" s="13" t="n">
        <v>103998.559733431</v>
      </c>
      <c r="C194" s="13" t="n">
        <v>101270.971050946</v>
      </c>
      <c r="D194" s="14" t="n">
        <v>2968</v>
      </c>
      <c r="E194" s="15" t="n">
        <f aca="false">B194/D194</f>
        <v>35.0399460018299</v>
      </c>
      <c r="F194" s="15" t="n">
        <f aca="false">C194/D194</f>
        <v>34.120947119591</v>
      </c>
      <c r="G194" s="13" t="n">
        <f aca="false">B194-C194</f>
        <v>2727.588682485</v>
      </c>
      <c r="H194" s="16" t="n">
        <f aca="false">G194/B194</f>
        <v>0.0262271774674222</v>
      </c>
      <c r="I194" s="15" t="n">
        <f aca="false">G194/D194</f>
        <v>0.918998882238882</v>
      </c>
      <c r="J194" s="16" t="n">
        <f aca="false">I194/E194</f>
        <v>0.0262271774674222</v>
      </c>
      <c r="K194" s="17" t="str">
        <f aca="false">TEXT(A194,"dddd")</f>
        <v>Thursday</v>
      </c>
      <c r="L194" s="17" t="str">
        <f aca="false">IF(AND(A194&gt;=DATE(2014,9,24),A194&lt;=DATE(2014,10,6)),"Promo 1",IF(AND(A194&gt;=DATE(2014,9,10),A194&lt;=DATE(2014,9,23)),"Baseline 1",IF(AND(A194&gt;=DATE(2015,9,23),A194&lt;=DATE(2015,10,6)),"Promo 2",IF(AND(A194&gt;=DATE(2015,9,9),A194&lt;=DATE(2015,9,22)),"Baseline 2",IF(AND(A194&gt;=DATE(2016,6,23),A194&lt;=DATE(2016,7,6)),"Promo 3",IF(AND(A194&gt;=DATE(2016,6,9),A194&lt;=DATE(2016,6,22)),"Baseline 3","Other"))))))</f>
        <v>Other</v>
      </c>
    </row>
    <row r="195" customFormat="false" ht="15" hidden="false" customHeight="true" outlineLevel="0" collapsed="false">
      <c r="A195" s="12" t="n">
        <v>41831</v>
      </c>
      <c r="B195" s="13" t="n">
        <v>134018.089263478</v>
      </c>
      <c r="C195" s="13" t="n">
        <v>130633.262714548</v>
      </c>
      <c r="D195" s="14" t="n">
        <v>3825</v>
      </c>
      <c r="E195" s="15" t="n">
        <f aca="false">B195/D195</f>
        <v>35.037408957772</v>
      </c>
      <c r="F195" s="15" t="n">
        <f aca="false">C195/D195</f>
        <v>34.1524869841956</v>
      </c>
      <c r="G195" s="13" t="n">
        <f aca="false">B195-C195</f>
        <v>3384.82654893001</v>
      </c>
      <c r="H195" s="16" t="n">
        <f aca="false">G195/B195</f>
        <v>0.0252564901315335</v>
      </c>
      <c r="I195" s="15" t="n">
        <f aca="false">G195/D195</f>
        <v>0.884921973576473</v>
      </c>
      <c r="J195" s="16" t="n">
        <f aca="false">I195/E195</f>
        <v>0.0252564901315335</v>
      </c>
      <c r="K195" s="17" t="str">
        <f aca="false">TEXT(A195,"dddd")</f>
        <v>Friday</v>
      </c>
      <c r="L195" s="17" t="str">
        <f aca="false">IF(AND(A195&gt;=DATE(2014,9,24),A195&lt;=DATE(2014,10,6)),"Promo 1",IF(AND(A195&gt;=DATE(2014,9,10),A195&lt;=DATE(2014,9,23)),"Baseline 1",IF(AND(A195&gt;=DATE(2015,9,23),A195&lt;=DATE(2015,10,6)),"Promo 2",IF(AND(A195&gt;=DATE(2015,9,9),A195&lt;=DATE(2015,9,22)),"Baseline 2",IF(AND(A195&gt;=DATE(2016,6,23),A195&lt;=DATE(2016,7,6)),"Promo 3",IF(AND(A195&gt;=DATE(2016,6,9),A195&lt;=DATE(2016,6,22)),"Baseline 3","Other"))))))</f>
        <v>Other</v>
      </c>
    </row>
    <row r="196" customFormat="false" ht="15" hidden="false" customHeight="true" outlineLevel="0" collapsed="false">
      <c r="A196" s="12" t="n">
        <v>41832</v>
      </c>
      <c r="B196" s="13" t="n">
        <v>99277.2995030105</v>
      </c>
      <c r="C196" s="13" t="n">
        <v>96688.4978130175</v>
      </c>
      <c r="D196" s="14" t="n">
        <v>2833</v>
      </c>
      <c r="E196" s="15" t="n">
        <f aca="false">B196/D196</f>
        <v>35.0431696092519</v>
      </c>
      <c r="F196" s="15" t="n">
        <f aca="false">C196/D196</f>
        <v>34.1293673889931</v>
      </c>
      <c r="G196" s="13" t="n">
        <f aca="false">B196-C196</f>
        <v>2588.80168999299</v>
      </c>
      <c r="H196" s="16" t="n">
        <f aca="false">G196/B196</f>
        <v>0.026076471690434</v>
      </c>
      <c r="I196" s="15" t="n">
        <f aca="false">G196/D196</f>
        <v>0.913802220258734</v>
      </c>
      <c r="J196" s="16" t="n">
        <f aca="false">I196/E196</f>
        <v>0.026076471690434</v>
      </c>
      <c r="K196" s="17" t="str">
        <f aca="false">TEXT(A196,"dddd")</f>
        <v>Saturday</v>
      </c>
      <c r="L196" s="17" t="str">
        <f aca="false">IF(AND(A196&gt;=DATE(2014,9,24),A196&lt;=DATE(2014,10,6)),"Promo 1",IF(AND(A196&gt;=DATE(2014,9,10),A196&lt;=DATE(2014,9,23)),"Baseline 1",IF(AND(A196&gt;=DATE(2015,9,23),A196&lt;=DATE(2015,10,6)),"Promo 2",IF(AND(A196&gt;=DATE(2015,9,9),A196&lt;=DATE(2015,9,22)),"Baseline 2",IF(AND(A196&gt;=DATE(2016,6,23),A196&lt;=DATE(2016,7,6)),"Promo 3",IF(AND(A196&gt;=DATE(2016,6,9),A196&lt;=DATE(2016,6,22)),"Baseline 3","Other"))))))</f>
        <v>Other</v>
      </c>
    </row>
    <row r="197" customFormat="false" ht="15" hidden="false" customHeight="true" outlineLevel="0" collapsed="false">
      <c r="A197" s="12" t="n">
        <v>41833</v>
      </c>
      <c r="B197" s="13" t="n">
        <v>49705.2319999207</v>
      </c>
      <c r="C197" s="13" t="n">
        <v>48370.3089940063</v>
      </c>
      <c r="D197" s="14" t="n">
        <v>1419</v>
      </c>
      <c r="E197" s="15" t="n">
        <f aca="false">B197/D197</f>
        <v>35.0283523607616</v>
      </c>
      <c r="F197" s="15" t="n">
        <f aca="false">C197/D197</f>
        <v>34.0876032374956</v>
      </c>
      <c r="G197" s="13" t="n">
        <f aca="false">B197-C197</f>
        <v>1334.9230059144</v>
      </c>
      <c r="H197" s="16" t="n">
        <f aca="false">G197/B197</f>
        <v>0.0268567905671687</v>
      </c>
      <c r="I197" s="15" t="n">
        <f aca="false">G197/D197</f>
        <v>0.940749123265964</v>
      </c>
      <c r="J197" s="16" t="n">
        <f aca="false">I197/E197</f>
        <v>0.0268567905671687</v>
      </c>
      <c r="K197" s="17" t="str">
        <f aca="false">TEXT(A197,"dddd")</f>
        <v>Sunday</v>
      </c>
      <c r="L197" s="17" t="str">
        <f aca="false">IF(AND(A197&gt;=DATE(2014,9,24),A197&lt;=DATE(2014,10,6)),"Promo 1",IF(AND(A197&gt;=DATE(2014,9,10),A197&lt;=DATE(2014,9,23)),"Baseline 1",IF(AND(A197&gt;=DATE(2015,9,23),A197&lt;=DATE(2015,10,6)),"Promo 2",IF(AND(A197&gt;=DATE(2015,9,9),A197&lt;=DATE(2015,9,22)),"Baseline 2",IF(AND(A197&gt;=DATE(2016,6,23),A197&lt;=DATE(2016,7,6)),"Promo 3",IF(AND(A197&gt;=DATE(2016,6,9),A197&lt;=DATE(2016,6,22)),"Baseline 3","Other"))))))</f>
        <v>Other</v>
      </c>
    </row>
    <row r="198" customFormat="false" ht="15" hidden="false" customHeight="true" outlineLevel="0" collapsed="false">
      <c r="A198" s="12" t="n">
        <v>41834</v>
      </c>
      <c r="B198" s="13" t="n">
        <v>75384.5745507313</v>
      </c>
      <c r="C198" s="13" t="n">
        <v>73393.4465936689</v>
      </c>
      <c r="D198" s="14" t="n">
        <v>2151</v>
      </c>
      <c r="E198" s="15" t="n">
        <f aca="false">B198/D198</f>
        <v>35.0462922132642</v>
      </c>
      <c r="F198" s="15" t="n">
        <f aca="false">C198/D198</f>
        <v>34.1206167334583</v>
      </c>
      <c r="G198" s="13" t="n">
        <f aca="false">B198-C198</f>
        <v>1991.1279570624</v>
      </c>
      <c r="H198" s="16" t="n">
        <f aca="false">G198/B198</f>
        <v>0.0264129361865993</v>
      </c>
      <c r="I198" s="15" t="n">
        <f aca="false">G198/D198</f>
        <v>0.925675479805859</v>
      </c>
      <c r="J198" s="16" t="n">
        <f aca="false">I198/E198</f>
        <v>0.0264129361865993</v>
      </c>
      <c r="K198" s="17" t="str">
        <f aca="false">TEXT(A198,"dddd")</f>
        <v>Monday</v>
      </c>
      <c r="L198" s="17" t="str">
        <f aca="false">IF(AND(A198&gt;=DATE(2014,9,24),A198&lt;=DATE(2014,10,6)),"Promo 1",IF(AND(A198&gt;=DATE(2014,9,10),A198&lt;=DATE(2014,9,23)),"Baseline 1",IF(AND(A198&gt;=DATE(2015,9,23),A198&lt;=DATE(2015,10,6)),"Promo 2",IF(AND(A198&gt;=DATE(2015,9,9),A198&lt;=DATE(2015,9,22)),"Baseline 2",IF(AND(A198&gt;=DATE(2016,6,23),A198&lt;=DATE(2016,7,6)),"Promo 3",IF(AND(A198&gt;=DATE(2016,6,9),A198&lt;=DATE(2016,6,22)),"Baseline 3","Other"))))))</f>
        <v>Other</v>
      </c>
    </row>
    <row r="199" customFormat="false" ht="15" hidden="false" customHeight="true" outlineLevel="0" collapsed="false">
      <c r="A199" s="12" t="n">
        <v>41835</v>
      </c>
      <c r="B199" s="13" t="n">
        <v>110288.234174191</v>
      </c>
      <c r="C199" s="13" t="n">
        <v>107437.380951613</v>
      </c>
      <c r="D199" s="14" t="n">
        <v>3148</v>
      </c>
      <c r="E199" s="15" t="n">
        <f aca="false">B199/D199</f>
        <v>35.034381885067</v>
      </c>
      <c r="F199" s="15" t="n">
        <f aca="false">C199/D199</f>
        <v>34.1287741269419</v>
      </c>
      <c r="G199" s="13" t="n">
        <f aca="false">B199-C199</f>
        <v>2850.85322257801</v>
      </c>
      <c r="H199" s="16" t="n">
        <f aca="false">G199/B199</f>
        <v>0.0258491147666334</v>
      </c>
      <c r="I199" s="15" t="n">
        <f aca="false">G199/D199</f>
        <v>0.905607758125161</v>
      </c>
      <c r="J199" s="16" t="n">
        <f aca="false">I199/E199</f>
        <v>0.0258491147666334</v>
      </c>
      <c r="K199" s="17" t="str">
        <f aca="false">TEXT(A199,"dddd")</f>
        <v>Tuesday</v>
      </c>
      <c r="L199" s="17" t="str">
        <f aca="false">IF(AND(A199&gt;=DATE(2014,9,24),A199&lt;=DATE(2014,10,6)),"Promo 1",IF(AND(A199&gt;=DATE(2014,9,10),A199&lt;=DATE(2014,9,23)),"Baseline 1",IF(AND(A199&gt;=DATE(2015,9,23),A199&lt;=DATE(2015,10,6)),"Promo 2",IF(AND(A199&gt;=DATE(2015,9,9),A199&lt;=DATE(2015,9,22)),"Baseline 2",IF(AND(A199&gt;=DATE(2016,6,23),A199&lt;=DATE(2016,7,6)),"Promo 3",IF(AND(A199&gt;=DATE(2016,6,9),A199&lt;=DATE(2016,6,22)),"Baseline 3","Other"))))))</f>
        <v>Other</v>
      </c>
    </row>
    <row r="200" customFormat="false" ht="15" hidden="false" customHeight="true" outlineLevel="0" collapsed="false">
      <c r="A200" s="12" t="n">
        <v>41836</v>
      </c>
      <c r="B200" s="13" t="n">
        <v>156536.686205421</v>
      </c>
      <c r="C200" s="13" t="n">
        <v>164641.353987485</v>
      </c>
      <c r="D200" s="14" t="n">
        <v>4825</v>
      </c>
      <c r="E200" s="15" t="n">
        <f aca="false">B200/D200</f>
        <v>32.4428365192582</v>
      </c>
      <c r="F200" s="15" t="n">
        <f aca="false">C200/D200</f>
        <v>34.122560411914</v>
      </c>
      <c r="G200" s="13" t="n">
        <f aca="false">B200-C200</f>
        <v>-8104.667782064</v>
      </c>
      <c r="H200" s="16" t="n">
        <f aca="false">G200/B200</f>
        <v>-0.0517748776885973</v>
      </c>
      <c r="I200" s="15" t="n">
        <f aca="false">G200/D200</f>
        <v>-1.67972389265575</v>
      </c>
      <c r="J200" s="16" t="n">
        <f aca="false">I200/E200</f>
        <v>-0.0517748776885973</v>
      </c>
      <c r="K200" s="17" t="str">
        <f aca="false">TEXT(A200,"dddd")</f>
        <v>Wednesday</v>
      </c>
      <c r="L200" s="17" t="str">
        <f aca="false">IF(AND(A200&gt;=DATE(2014,9,24),A200&lt;=DATE(2014,10,6)),"Promo 1",IF(AND(A200&gt;=DATE(2014,9,10),A200&lt;=DATE(2014,9,23)),"Baseline 1",IF(AND(A200&gt;=DATE(2015,9,23),A200&lt;=DATE(2015,10,6)),"Promo 2",IF(AND(A200&gt;=DATE(2015,9,9),A200&lt;=DATE(2015,9,22)),"Baseline 2",IF(AND(A200&gt;=DATE(2016,6,23),A200&lt;=DATE(2016,7,6)),"Promo 3",IF(AND(A200&gt;=DATE(2016,6,9),A200&lt;=DATE(2016,6,22)),"Baseline 3","Other"))))))</f>
        <v>Other</v>
      </c>
    </row>
    <row r="201" customFormat="false" ht="15" hidden="false" customHeight="true" outlineLevel="0" collapsed="false">
      <c r="A201" s="12" t="n">
        <v>41837</v>
      </c>
      <c r="B201" s="13" t="n">
        <v>80823.0591979212</v>
      </c>
      <c r="C201" s="13" t="n">
        <v>78844.8605003374</v>
      </c>
      <c r="D201" s="14" t="n">
        <v>2307</v>
      </c>
      <c r="E201" s="15" t="n">
        <f aca="false">B201/D201</f>
        <v>35.0338358031735</v>
      </c>
      <c r="F201" s="15" t="n">
        <f aca="false">C201/D201</f>
        <v>34.1763591245502</v>
      </c>
      <c r="G201" s="13" t="n">
        <f aca="false">B201-C201</f>
        <v>1978.19869758381</v>
      </c>
      <c r="H201" s="16" t="n">
        <f aca="false">G201/B201</f>
        <v>0.0244756721313846</v>
      </c>
      <c r="I201" s="15" t="n">
        <f aca="false">G201/D201</f>
        <v>0.857476678623237</v>
      </c>
      <c r="J201" s="16" t="n">
        <f aca="false">I201/E201</f>
        <v>0.0244756721313846</v>
      </c>
      <c r="K201" s="17" t="str">
        <f aca="false">TEXT(A201,"dddd")</f>
        <v>Thursday</v>
      </c>
      <c r="L201" s="17" t="str">
        <f aca="false">IF(AND(A201&gt;=DATE(2014,9,24),A201&lt;=DATE(2014,10,6)),"Promo 1",IF(AND(A201&gt;=DATE(2014,9,10),A201&lt;=DATE(2014,9,23)),"Baseline 1",IF(AND(A201&gt;=DATE(2015,9,23),A201&lt;=DATE(2015,10,6)),"Promo 2",IF(AND(A201&gt;=DATE(2015,9,9),A201&lt;=DATE(2015,9,22)),"Baseline 2",IF(AND(A201&gt;=DATE(2016,6,23),A201&lt;=DATE(2016,7,6)),"Promo 3",IF(AND(A201&gt;=DATE(2016,6,9),A201&lt;=DATE(2016,6,22)),"Baseline 3","Other"))))))</f>
        <v>Other</v>
      </c>
    </row>
    <row r="202" customFormat="false" ht="15" hidden="false" customHeight="true" outlineLevel="0" collapsed="false">
      <c r="A202" s="12" t="n">
        <v>41838</v>
      </c>
      <c r="B202" s="13" t="n">
        <v>124615.685608409</v>
      </c>
      <c r="C202" s="13" t="n">
        <v>121612.178924556</v>
      </c>
      <c r="D202" s="14" t="n">
        <v>3557</v>
      </c>
      <c r="E202" s="15" t="n">
        <f aca="false">B202/D202</f>
        <v>35.033929043691</v>
      </c>
      <c r="F202" s="15" t="n">
        <f aca="false">C202/D202</f>
        <v>34.189535823603</v>
      </c>
      <c r="G202" s="13" t="n">
        <f aca="false">B202-C202</f>
        <v>3003.50668385299</v>
      </c>
      <c r="H202" s="16" t="n">
        <f aca="false">G202/B202</f>
        <v>0.0241021559139126</v>
      </c>
      <c r="I202" s="15" t="n">
        <f aca="false">G202/D202</f>
        <v>0.844393220087992</v>
      </c>
      <c r="J202" s="16" t="n">
        <f aca="false">I202/E202</f>
        <v>0.0241021559139126</v>
      </c>
      <c r="K202" s="17" t="str">
        <f aca="false">TEXT(A202,"dddd")</f>
        <v>Friday</v>
      </c>
      <c r="L202" s="17" t="str">
        <f aca="false">IF(AND(A202&gt;=DATE(2014,9,24),A202&lt;=DATE(2014,10,6)),"Promo 1",IF(AND(A202&gt;=DATE(2014,9,10),A202&lt;=DATE(2014,9,23)),"Baseline 1",IF(AND(A202&gt;=DATE(2015,9,23),A202&lt;=DATE(2015,10,6)),"Promo 2",IF(AND(A202&gt;=DATE(2015,9,9),A202&lt;=DATE(2015,9,22)),"Baseline 2",IF(AND(A202&gt;=DATE(2016,6,23),A202&lt;=DATE(2016,7,6)),"Promo 3",IF(AND(A202&gt;=DATE(2016,6,9),A202&lt;=DATE(2016,6,22)),"Baseline 3","Other"))))))</f>
        <v>Other</v>
      </c>
    </row>
    <row r="203" customFormat="false" ht="15" hidden="false" customHeight="true" outlineLevel="0" collapsed="false">
      <c r="A203" s="12" t="n">
        <v>41839</v>
      </c>
      <c r="B203" s="13" t="n">
        <v>242758.950528376</v>
      </c>
      <c r="C203" s="13" t="n">
        <v>255779.854460493</v>
      </c>
      <c r="D203" s="14" t="n">
        <v>7485</v>
      </c>
      <c r="E203" s="15" t="n">
        <f aca="false">B203/D203</f>
        <v>32.4327255214931</v>
      </c>
      <c r="F203" s="15" t="n">
        <f aca="false">C203/D203</f>
        <v>34.1723252452228</v>
      </c>
      <c r="G203" s="13" t="n">
        <f aca="false">B203-C203</f>
        <v>-13020.903932117</v>
      </c>
      <c r="H203" s="16" t="n">
        <f aca="false">G203/B203</f>
        <v>-0.0536371734338791</v>
      </c>
      <c r="I203" s="15" t="n">
        <f aca="false">G203/D203</f>
        <v>-1.73959972372972</v>
      </c>
      <c r="J203" s="16" t="n">
        <f aca="false">I203/E203</f>
        <v>-0.0536371734338791</v>
      </c>
      <c r="K203" s="17" t="str">
        <f aca="false">TEXT(A203,"dddd")</f>
        <v>Saturday</v>
      </c>
      <c r="L203" s="17" t="str">
        <f aca="false">IF(AND(A203&gt;=DATE(2014,9,24),A203&lt;=DATE(2014,10,6)),"Promo 1",IF(AND(A203&gt;=DATE(2014,9,10),A203&lt;=DATE(2014,9,23)),"Baseline 1",IF(AND(A203&gt;=DATE(2015,9,23),A203&lt;=DATE(2015,10,6)),"Promo 2",IF(AND(A203&gt;=DATE(2015,9,9),A203&lt;=DATE(2015,9,22)),"Baseline 2",IF(AND(A203&gt;=DATE(2016,6,23),A203&lt;=DATE(2016,7,6)),"Promo 3",IF(AND(A203&gt;=DATE(2016,6,9),A203&lt;=DATE(2016,6,22)),"Baseline 3","Other"))))))</f>
        <v>Other</v>
      </c>
    </row>
    <row r="204" customFormat="false" ht="15" hidden="false" customHeight="true" outlineLevel="0" collapsed="false">
      <c r="A204" s="12" t="n">
        <v>41840</v>
      </c>
      <c r="B204" s="13" t="n">
        <v>85078.2436894361</v>
      </c>
      <c r="C204" s="13" t="n">
        <v>83020.5141254625</v>
      </c>
      <c r="D204" s="14" t="n">
        <v>2428</v>
      </c>
      <c r="E204" s="15" t="n">
        <f aca="false">B204/D204</f>
        <v>35.0404628045454</v>
      </c>
      <c r="F204" s="15" t="n">
        <f aca="false">C204/D204</f>
        <v>34.1929629841279</v>
      </c>
      <c r="G204" s="13" t="n">
        <f aca="false">B204-C204</f>
        <v>2057.7295639736</v>
      </c>
      <c r="H204" s="16" t="n">
        <f aca="false">G204/B204</f>
        <v>0.0241863192602447</v>
      </c>
      <c r="I204" s="15" t="n">
        <f aca="false">G204/D204</f>
        <v>0.847499820417462</v>
      </c>
      <c r="J204" s="16" t="n">
        <f aca="false">I204/E204</f>
        <v>0.0241863192602447</v>
      </c>
      <c r="K204" s="17" t="str">
        <f aca="false">TEXT(A204,"dddd")</f>
        <v>Sunday</v>
      </c>
      <c r="L204" s="17" t="str">
        <f aca="false">IF(AND(A204&gt;=DATE(2014,9,24),A204&lt;=DATE(2014,10,6)),"Promo 1",IF(AND(A204&gt;=DATE(2014,9,10),A204&lt;=DATE(2014,9,23)),"Baseline 1",IF(AND(A204&gt;=DATE(2015,9,23),A204&lt;=DATE(2015,10,6)),"Promo 2",IF(AND(A204&gt;=DATE(2015,9,9),A204&lt;=DATE(2015,9,22)),"Baseline 2",IF(AND(A204&gt;=DATE(2016,6,23),A204&lt;=DATE(2016,7,6)),"Promo 3",IF(AND(A204&gt;=DATE(2016,6,9),A204&lt;=DATE(2016,6,22)),"Baseline 3","Other"))))))</f>
        <v>Other</v>
      </c>
    </row>
    <row r="205" customFormat="false" ht="15" hidden="false" customHeight="true" outlineLevel="0" collapsed="false">
      <c r="A205" s="12" t="n">
        <v>41841</v>
      </c>
      <c r="B205" s="13" t="n">
        <v>86738.0674272609</v>
      </c>
      <c r="C205" s="13" t="n">
        <v>84643.2718272155</v>
      </c>
      <c r="D205" s="14" t="n">
        <v>2475</v>
      </c>
      <c r="E205" s="15" t="n">
        <f aca="false">B205/D205</f>
        <v>35.0456838089943</v>
      </c>
      <c r="F205" s="15" t="n">
        <f aca="false">C205/D205</f>
        <v>34.1993017483699</v>
      </c>
      <c r="G205" s="13" t="n">
        <f aca="false">B205-C205</f>
        <v>2094.7956000454</v>
      </c>
      <c r="H205" s="16" t="n">
        <f aca="false">G205/B205</f>
        <v>0.0241508216885522</v>
      </c>
      <c r="I205" s="15" t="n">
        <f aca="false">G205/D205</f>
        <v>0.846382060624404</v>
      </c>
      <c r="J205" s="16" t="n">
        <f aca="false">I205/E205</f>
        <v>0.0241508216885522</v>
      </c>
      <c r="K205" s="17" t="str">
        <f aca="false">TEXT(A205,"dddd")</f>
        <v>Monday</v>
      </c>
      <c r="L205" s="17" t="str">
        <f aca="false">IF(AND(A205&gt;=DATE(2014,9,24),A205&lt;=DATE(2014,10,6)),"Promo 1",IF(AND(A205&gt;=DATE(2014,9,10),A205&lt;=DATE(2014,9,23)),"Baseline 1",IF(AND(A205&gt;=DATE(2015,9,23),A205&lt;=DATE(2015,10,6)),"Promo 2",IF(AND(A205&gt;=DATE(2015,9,9),A205&lt;=DATE(2015,9,22)),"Baseline 2",IF(AND(A205&gt;=DATE(2016,6,23),A205&lt;=DATE(2016,7,6)),"Promo 3",IF(AND(A205&gt;=DATE(2016,6,9),A205&lt;=DATE(2016,6,22)),"Baseline 3","Other"))))))</f>
        <v>Other</v>
      </c>
    </row>
    <row r="206" customFormat="false" ht="15" hidden="false" customHeight="true" outlineLevel="0" collapsed="false">
      <c r="A206" s="12" t="n">
        <v>41842</v>
      </c>
      <c r="B206" s="13" t="n">
        <v>56673.6158116209</v>
      </c>
      <c r="C206" s="13" t="n">
        <v>55278.7078292306</v>
      </c>
      <c r="D206" s="14" t="n">
        <v>1618</v>
      </c>
      <c r="E206" s="15" t="n">
        <f aca="false">B206/D206</f>
        <v>35.0269566202849</v>
      </c>
      <c r="F206" s="15" t="n">
        <f aca="false">C206/D206</f>
        <v>34.1648379661499</v>
      </c>
      <c r="G206" s="13" t="n">
        <f aca="false">B206-C206</f>
        <v>1394.90798239029</v>
      </c>
      <c r="H206" s="16" t="n">
        <f aca="false">G206/B206</f>
        <v>0.0246130048773819</v>
      </c>
      <c r="I206" s="15" t="n">
        <f aca="false">G206/D206</f>
        <v>0.862118654134916</v>
      </c>
      <c r="J206" s="16" t="n">
        <f aca="false">I206/E206</f>
        <v>0.0246130048773819</v>
      </c>
      <c r="K206" s="17" t="str">
        <f aca="false">TEXT(A206,"dddd")</f>
        <v>Tuesday</v>
      </c>
      <c r="L206" s="17" t="str">
        <f aca="false">IF(AND(A206&gt;=DATE(2014,9,24),A206&lt;=DATE(2014,10,6)),"Promo 1",IF(AND(A206&gt;=DATE(2014,9,10),A206&lt;=DATE(2014,9,23)),"Baseline 1",IF(AND(A206&gt;=DATE(2015,9,23),A206&lt;=DATE(2015,10,6)),"Promo 2",IF(AND(A206&gt;=DATE(2015,9,9),A206&lt;=DATE(2015,9,22)),"Baseline 2",IF(AND(A206&gt;=DATE(2016,6,23),A206&lt;=DATE(2016,7,6)),"Promo 3",IF(AND(A206&gt;=DATE(2016,6,9),A206&lt;=DATE(2016,6,22)),"Baseline 3","Other"))))))</f>
        <v>Other</v>
      </c>
    </row>
    <row r="207" customFormat="false" ht="15" hidden="false" customHeight="true" outlineLevel="0" collapsed="false">
      <c r="A207" s="12" t="n">
        <v>41843</v>
      </c>
      <c r="B207" s="13" t="n">
        <v>165742.170464234</v>
      </c>
      <c r="C207" s="13" t="n">
        <v>173725.357520623</v>
      </c>
      <c r="D207" s="14" t="n">
        <v>5106</v>
      </c>
      <c r="E207" s="15" t="n">
        <f aca="false">B207/D207</f>
        <v>32.4602762366302</v>
      </c>
      <c r="F207" s="15" t="n">
        <f aca="false">C207/D207</f>
        <v>34.0237676303609</v>
      </c>
      <c r="G207" s="13" t="n">
        <f aca="false">B207-C207</f>
        <v>-7983.187056389</v>
      </c>
      <c r="H207" s="16" t="n">
        <f aca="false">G207/B207</f>
        <v>-0.0481662997053107</v>
      </c>
      <c r="I207" s="15" t="n">
        <f aca="false">G207/D207</f>
        <v>-1.56349139373071</v>
      </c>
      <c r="J207" s="16" t="n">
        <f aca="false">I207/E207</f>
        <v>-0.0481662997053108</v>
      </c>
      <c r="K207" s="17" t="str">
        <f aca="false">TEXT(A207,"dddd")</f>
        <v>Wednesday</v>
      </c>
      <c r="L207" s="17" t="str">
        <f aca="false">IF(AND(A207&gt;=DATE(2014,9,24),A207&lt;=DATE(2014,10,6)),"Promo 1",IF(AND(A207&gt;=DATE(2014,9,10),A207&lt;=DATE(2014,9,23)),"Baseline 1",IF(AND(A207&gt;=DATE(2015,9,23),A207&lt;=DATE(2015,10,6)),"Promo 2",IF(AND(A207&gt;=DATE(2015,9,9),A207&lt;=DATE(2015,9,22)),"Baseline 2",IF(AND(A207&gt;=DATE(2016,6,23),A207&lt;=DATE(2016,7,6)),"Promo 3",IF(AND(A207&gt;=DATE(2016,6,9),A207&lt;=DATE(2016,6,22)),"Baseline 3","Other"))))))</f>
        <v>Other</v>
      </c>
    </row>
    <row r="208" customFormat="false" ht="15" hidden="false" customHeight="true" outlineLevel="0" collapsed="false">
      <c r="A208" s="12" t="n">
        <v>41844</v>
      </c>
      <c r="B208" s="13" t="n">
        <v>95618.2488037109</v>
      </c>
      <c r="C208" s="13" t="n">
        <v>92416.9038382375</v>
      </c>
      <c r="D208" s="14" t="n">
        <v>2729</v>
      </c>
      <c r="E208" s="15" t="n">
        <f aca="false">B208/D208</f>
        <v>35.037833933203</v>
      </c>
      <c r="F208" s="15" t="n">
        <f aca="false">C208/D208</f>
        <v>33.8647503987679</v>
      </c>
      <c r="G208" s="13" t="n">
        <f aca="false">B208-C208</f>
        <v>3201.3449654734</v>
      </c>
      <c r="H208" s="16" t="n">
        <f aca="false">G208/B208</f>
        <v>0.0334804810329172</v>
      </c>
      <c r="I208" s="15" t="n">
        <f aca="false">G208/D208</f>
        <v>1.1730835344351</v>
      </c>
      <c r="J208" s="16" t="n">
        <f aca="false">I208/E208</f>
        <v>0.0334804810329172</v>
      </c>
      <c r="K208" s="17" t="str">
        <f aca="false">TEXT(A208,"dddd")</f>
        <v>Thursday</v>
      </c>
      <c r="L208" s="17" t="str">
        <f aca="false">IF(AND(A208&gt;=DATE(2014,9,24),A208&lt;=DATE(2014,10,6)),"Promo 1",IF(AND(A208&gt;=DATE(2014,9,10),A208&lt;=DATE(2014,9,23)),"Baseline 1",IF(AND(A208&gt;=DATE(2015,9,23),A208&lt;=DATE(2015,10,6)),"Promo 2",IF(AND(A208&gt;=DATE(2015,9,9),A208&lt;=DATE(2015,9,22)),"Baseline 2",IF(AND(A208&gt;=DATE(2016,6,23),A208&lt;=DATE(2016,7,6)),"Promo 3",IF(AND(A208&gt;=DATE(2016,6,9),A208&lt;=DATE(2016,6,22)),"Baseline 3","Other"))))))</f>
        <v>Other</v>
      </c>
    </row>
    <row r="209" customFormat="false" ht="15" hidden="false" customHeight="true" outlineLevel="0" collapsed="false">
      <c r="A209" s="12" t="n">
        <v>41845</v>
      </c>
      <c r="B209" s="13" t="n">
        <v>515698.795766175</v>
      </c>
      <c r="C209" s="13" t="n">
        <v>538260.271803907</v>
      </c>
      <c r="D209" s="14" t="n">
        <v>15897</v>
      </c>
      <c r="E209" s="15" t="n">
        <f aca="false">B209/D209</f>
        <v>32.4400072822655</v>
      </c>
      <c r="F209" s="15" t="n">
        <f aca="false">C209/D209</f>
        <v>33.8592358183247</v>
      </c>
      <c r="G209" s="13" t="n">
        <f aca="false">B209-C209</f>
        <v>-22561.476037732</v>
      </c>
      <c r="H209" s="16" t="n">
        <f aca="false">G209/B209</f>
        <v>-0.0437493285285112</v>
      </c>
      <c r="I209" s="15" t="n">
        <f aca="false">G209/D209</f>
        <v>-1.41922853605913</v>
      </c>
      <c r="J209" s="16" t="n">
        <f aca="false">I209/E209</f>
        <v>-0.0437493285285112</v>
      </c>
      <c r="K209" s="17" t="str">
        <f aca="false">TEXT(A209,"dddd")</f>
        <v>Friday</v>
      </c>
      <c r="L209" s="17" t="str">
        <f aca="false">IF(AND(A209&gt;=DATE(2014,9,24),A209&lt;=DATE(2014,10,6)),"Promo 1",IF(AND(A209&gt;=DATE(2014,9,10),A209&lt;=DATE(2014,9,23)),"Baseline 1",IF(AND(A209&gt;=DATE(2015,9,23),A209&lt;=DATE(2015,10,6)),"Promo 2",IF(AND(A209&gt;=DATE(2015,9,9),A209&lt;=DATE(2015,9,22)),"Baseline 2",IF(AND(A209&gt;=DATE(2016,6,23),A209&lt;=DATE(2016,7,6)),"Promo 3",IF(AND(A209&gt;=DATE(2016,6,9),A209&lt;=DATE(2016,6,22)),"Baseline 3","Other"))))))</f>
        <v>Other</v>
      </c>
    </row>
    <row r="210" customFormat="false" ht="15" hidden="false" customHeight="true" outlineLevel="0" collapsed="false">
      <c r="A210" s="12" t="n">
        <v>41846</v>
      </c>
      <c r="B210" s="13" t="n">
        <v>562590.366547841</v>
      </c>
      <c r="C210" s="13" t="n">
        <v>586670.514084788</v>
      </c>
      <c r="D210" s="14" t="n">
        <v>17343</v>
      </c>
      <c r="E210" s="15" t="n">
        <f aca="false">B210/D210</f>
        <v>32.4390455254478</v>
      </c>
      <c r="F210" s="15" t="n">
        <f aca="false">C210/D210</f>
        <v>33.8275104702063</v>
      </c>
      <c r="G210" s="13" t="n">
        <f aca="false">B210-C210</f>
        <v>-24080.147536947</v>
      </c>
      <c r="H210" s="16" t="n">
        <f aca="false">G210/B210</f>
        <v>-0.042802274921107</v>
      </c>
      <c r="I210" s="15" t="n">
        <f aca="false">G210/D210</f>
        <v>-1.38846494475852</v>
      </c>
      <c r="J210" s="16" t="n">
        <f aca="false">I210/E210</f>
        <v>-0.042802274921107</v>
      </c>
      <c r="K210" s="17" t="str">
        <f aca="false">TEXT(A210,"dddd")</f>
        <v>Saturday</v>
      </c>
      <c r="L210" s="17" t="str">
        <f aca="false">IF(AND(A210&gt;=DATE(2014,9,24),A210&lt;=DATE(2014,10,6)),"Promo 1",IF(AND(A210&gt;=DATE(2014,9,10),A210&lt;=DATE(2014,9,23)),"Baseline 1",IF(AND(A210&gt;=DATE(2015,9,23),A210&lt;=DATE(2015,10,6)),"Promo 2",IF(AND(A210&gt;=DATE(2015,9,9),A210&lt;=DATE(2015,9,22)),"Baseline 2",IF(AND(A210&gt;=DATE(2016,6,23),A210&lt;=DATE(2016,7,6)),"Promo 3",IF(AND(A210&gt;=DATE(2016,6,9),A210&lt;=DATE(2016,6,22)),"Baseline 3","Other"))))))</f>
        <v>Other</v>
      </c>
    </row>
    <row r="211" customFormat="false" ht="15" hidden="false" customHeight="true" outlineLevel="0" collapsed="false">
      <c r="A211" s="12" t="n">
        <v>41847</v>
      </c>
      <c r="B211" s="13" t="n">
        <v>266305.925889973</v>
      </c>
      <c r="C211" s="13" t="n">
        <v>277238.01036148</v>
      </c>
      <c r="D211" s="14" t="n">
        <v>8207</v>
      </c>
      <c r="E211" s="15" t="n">
        <f aca="false">B211/D211</f>
        <v>32.4486323735802</v>
      </c>
      <c r="F211" s="15" t="n">
        <f aca="false">C211/D211</f>
        <v>33.7806762960254</v>
      </c>
      <c r="G211" s="13" t="n">
        <f aca="false">B211-C211</f>
        <v>-10932.084471507</v>
      </c>
      <c r="H211" s="16" t="n">
        <f aca="false">G211/B211</f>
        <v>-0.0410508494505815</v>
      </c>
      <c r="I211" s="15" t="n">
        <f aca="false">G211/D211</f>
        <v>-1.33204392244511</v>
      </c>
      <c r="J211" s="16" t="n">
        <f aca="false">I211/E211</f>
        <v>-0.0410508494505815</v>
      </c>
      <c r="K211" s="17" t="str">
        <f aca="false">TEXT(A211,"dddd")</f>
        <v>Sunday</v>
      </c>
      <c r="L211" s="17" t="str">
        <f aca="false">IF(AND(A211&gt;=DATE(2014,9,24),A211&lt;=DATE(2014,10,6)),"Promo 1",IF(AND(A211&gt;=DATE(2014,9,10),A211&lt;=DATE(2014,9,23)),"Baseline 1",IF(AND(A211&gt;=DATE(2015,9,23),A211&lt;=DATE(2015,10,6)),"Promo 2",IF(AND(A211&gt;=DATE(2015,9,9),A211&lt;=DATE(2015,9,22)),"Baseline 2",IF(AND(A211&gt;=DATE(2016,6,23),A211&lt;=DATE(2016,7,6)),"Promo 3",IF(AND(A211&gt;=DATE(2016,6,9),A211&lt;=DATE(2016,6,22)),"Baseline 3","Other"))))))</f>
        <v>Other</v>
      </c>
    </row>
    <row r="212" customFormat="false" ht="15" hidden="false" customHeight="true" outlineLevel="0" collapsed="false">
      <c r="A212" s="12" t="n">
        <v>41848</v>
      </c>
      <c r="B212" s="13" t="n">
        <v>292634.745692819</v>
      </c>
      <c r="C212" s="13" t="n">
        <v>304508.379030808</v>
      </c>
      <c r="D212" s="14" t="n">
        <v>9018</v>
      </c>
      <c r="E212" s="15" t="n">
        <f aca="false">B212/D212</f>
        <v>32.4500716004457</v>
      </c>
      <c r="F212" s="15" t="n">
        <f aca="false">C212/D212</f>
        <v>33.7667308750064</v>
      </c>
      <c r="G212" s="13" t="n">
        <f aca="false">B212-C212</f>
        <v>-11873.633337989</v>
      </c>
      <c r="H212" s="16" t="n">
        <f aca="false">G212/B212</f>
        <v>-0.0405749266372245</v>
      </c>
      <c r="I212" s="15" t="n">
        <f aca="false">G212/D212</f>
        <v>-1.31665927456077</v>
      </c>
      <c r="J212" s="16" t="n">
        <f aca="false">I212/E212</f>
        <v>-0.0405749266372245</v>
      </c>
      <c r="K212" s="17" t="str">
        <f aca="false">TEXT(A212,"dddd")</f>
        <v>Monday</v>
      </c>
      <c r="L212" s="17" t="str">
        <f aca="false">IF(AND(A212&gt;=DATE(2014,9,24),A212&lt;=DATE(2014,10,6)),"Promo 1",IF(AND(A212&gt;=DATE(2014,9,10),A212&lt;=DATE(2014,9,23)),"Baseline 1",IF(AND(A212&gt;=DATE(2015,9,23),A212&lt;=DATE(2015,10,6)),"Promo 2",IF(AND(A212&gt;=DATE(2015,9,9),A212&lt;=DATE(2015,9,22)),"Baseline 2",IF(AND(A212&gt;=DATE(2016,6,23),A212&lt;=DATE(2016,7,6)),"Promo 3",IF(AND(A212&gt;=DATE(2016,6,9),A212&lt;=DATE(2016,6,22)),"Baseline 3","Other"))))))</f>
        <v>Other</v>
      </c>
    </row>
    <row r="213" customFormat="false" ht="15" hidden="false" customHeight="true" outlineLevel="0" collapsed="false">
      <c r="A213" s="12" t="n">
        <v>41849</v>
      </c>
      <c r="B213" s="13" t="n">
        <v>212360.993077952</v>
      </c>
      <c r="C213" s="13" t="n">
        <v>221017.073099767</v>
      </c>
      <c r="D213" s="14" t="n">
        <v>6548</v>
      </c>
      <c r="E213" s="15" t="n">
        <f aca="false">B213/D213</f>
        <v>32.4314283869811</v>
      </c>
      <c r="F213" s="15" t="n">
        <f aca="false">C213/D213</f>
        <v>33.753370968199</v>
      </c>
      <c r="G213" s="13" t="n">
        <f aca="false">B213-C213</f>
        <v>-8656.080021815</v>
      </c>
      <c r="H213" s="16" t="n">
        <f aca="false">G213/B213</f>
        <v>-0.0407611581409284</v>
      </c>
      <c r="I213" s="15" t="n">
        <f aca="false">G213/D213</f>
        <v>-1.32194258121793</v>
      </c>
      <c r="J213" s="16" t="n">
        <f aca="false">I213/E213</f>
        <v>-0.0407611581409284</v>
      </c>
      <c r="K213" s="17" t="str">
        <f aca="false">TEXT(A213,"dddd")</f>
        <v>Tuesday</v>
      </c>
      <c r="L213" s="17" t="str">
        <f aca="false">IF(AND(A213&gt;=DATE(2014,9,24),A213&lt;=DATE(2014,10,6)),"Promo 1",IF(AND(A213&gt;=DATE(2014,9,10),A213&lt;=DATE(2014,9,23)),"Baseline 1",IF(AND(A213&gt;=DATE(2015,9,23),A213&lt;=DATE(2015,10,6)),"Promo 2",IF(AND(A213&gt;=DATE(2015,9,9),A213&lt;=DATE(2015,9,22)),"Baseline 2",IF(AND(A213&gt;=DATE(2016,6,23),A213&lt;=DATE(2016,7,6)),"Promo 3",IF(AND(A213&gt;=DATE(2016,6,9),A213&lt;=DATE(2016,6,22)),"Baseline 3","Other"))))))</f>
        <v>Other</v>
      </c>
    </row>
    <row r="214" customFormat="false" ht="15" hidden="false" customHeight="true" outlineLevel="0" collapsed="false">
      <c r="A214" s="12" t="n">
        <v>41850</v>
      </c>
      <c r="B214" s="13" t="n">
        <v>198019.332091536</v>
      </c>
      <c r="C214" s="13" t="n">
        <v>205903.824945208</v>
      </c>
      <c r="D214" s="14" t="n">
        <v>6102</v>
      </c>
      <c r="E214" s="15" t="n">
        <f aca="false">B214/D214</f>
        <v>32.4515457377148</v>
      </c>
      <c r="F214" s="15" t="n">
        <f aca="false">C214/D214</f>
        <v>33.7436619051472</v>
      </c>
      <c r="G214" s="13" t="n">
        <f aca="false">B214-C214</f>
        <v>-7884.49285367201</v>
      </c>
      <c r="H214" s="16" t="n">
        <f aca="false">G214/B214</f>
        <v>-0.0398167833937918</v>
      </c>
      <c r="I214" s="15" t="n">
        <f aca="false">G214/D214</f>
        <v>-1.29211616743232</v>
      </c>
      <c r="J214" s="16" t="n">
        <f aca="false">I214/E214</f>
        <v>-0.0398167833937918</v>
      </c>
      <c r="K214" s="17" t="str">
        <f aca="false">TEXT(A214,"dddd")</f>
        <v>Wednesday</v>
      </c>
      <c r="L214" s="17" t="str">
        <f aca="false">IF(AND(A214&gt;=DATE(2014,9,24),A214&lt;=DATE(2014,10,6)),"Promo 1",IF(AND(A214&gt;=DATE(2014,9,10),A214&lt;=DATE(2014,9,23)),"Baseline 1",IF(AND(A214&gt;=DATE(2015,9,23),A214&lt;=DATE(2015,10,6)),"Promo 2",IF(AND(A214&gt;=DATE(2015,9,9),A214&lt;=DATE(2015,9,22)),"Baseline 2",IF(AND(A214&gt;=DATE(2016,6,23),A214&lt;=DATE(2016,7,6)),"Promo 3",IF(AND(A214&gt;=DATE(2016,6,9),A214&lt;=DATE(2016,6,22)),"Baseline 3","Other"))))))</f>
        <v>Other</v>
      </c>
    </row>
    <row r="215" customFormat="false" ht="15" hidden="false" customHeight="true" outlineLevel="0" collapsed="false">
      <c r="A215" s="12" t="n">
        <v>41851</v>
      </c>
      <c r="B215" s="13" t="n">
        <v>295508.327294266</v>
      </c>
      <c r="C215" s="13" t="n">
        <v>307222.395421688</v>
      </c>
      <c r="D215" s="14" t="n">
        <v>9108</v>
      </c>
      <c r="E215" s="15" t="n">
        <f aca="false">B215/D215</f>
        <v>32.4449195536085</v>
      </c>
      <c r="F215" s="15" t="n">
        <f aca="false">C215/D215</f>
        <v>33.7310491240325</v>
      </c>
      <c r="G215" s="13" t="n">
        <f aca="false">B215-C215</f>
        <v>-11714.068127422</v>
      </c>
      <c r="H215" s="16" t="n">
        <f aca="false">G215/B215</f>
        <v>-0.0396403994252153</v>
      </c>
      <c r="I215" s="15" t="n">
        <f aca="false">G215/D215</f>
        <v>-1.28612957042402</v>
      </c>
      <c r="J215" s="16" t="n">
        <f aca="false">I215/E215</f>
        <v>-0.0396403994252153</v>
      </c>
      <c r="K215" s="17" t="str">
        <f aca="false">TEXT(A215,"dddd")</f>
        <v>Thursday</v>
      </c>
      <c r="L215" s="17" t="str">
        <f aca="false">IF(AND(A215&gt;=DATE(2014,9,24),A215&lt;=DATE(2014,10,6)),"Promo 1",IF(AND(A215&gt;=DATE(2014,9,10),A215&lt;=DATE(2014,9,23)),"Baseline 1",IF(AND(A215&gt;=DATE(2015,9,23),A215&lt;=DATE(2015,10,6)),"Promo 2",IF(AND(A215&gt;=DATE(2015,9,9),A215&lt;=DATE(2015,9,22)),"Baseline 2",IF(AND(A215&gt;=DATE(2016,6,23),A215&lt;=DATE(2016,7,6)),"Promo 3",IF(AND(A215&gt;=DATE(2016,6,9),A215&lt;=DATE(2016,6,22)),"Baseline 3","Other"))))))</f>
        <v>Other</v>
      </c>
    </row>
    <row r="216" customFormat="false" ht="15" hidden="false" customHeight="true" outlineLevel="0" collapsed="false">
      <c r="A216" s="12" t="n">
        <v>41852</v>
      </c>
      <c r="B216" s="13" t="n">
        <v>611894.67318095</v>
      </c>
      <c r="C216" s="13" t="n">
        <v>636341.315926196</v>
      </c>
      <c r="D216" s="14" t="n">
        <v>18867</v>
      </c>
      <c r="E216" s="15" t="n">
        <f aca="false">B216/D216</f>
        <v>32.4320068469259</v>
      </c>
      <c r="F216" s="15" t="n">
        <f aca="false">C216/D216</f>
        <v>33.7277424034662</v>
      </c>
      <c r="G216" s="13" t="n">
        <f aca="false">B216-C216</f>
        <v>-24446.6427452461</v>
      </c>
      <c r="H216" s="16" t="n">
        <f aca="false">G216/B216</f>
        <v>-0.0399523705904475</v>
      </c>
      <c r="I216" s="15" t="n">
        <f aca="false">G216/D216</f>
        <v>-1.29573555654031</v>
      </c>
      <c r="J216" s="16" t="n">
        <f aca="false">I216/E216</f>
        <v>-0.0399523705904475</v>
      </c>
      <c r="K216" s="17" t="str">
        <f aca="false">TEXT(A216,"dddd")</f>
        <v>Friday</v>
      </c>
      <c r="L216" s="17" t="str">
        <f aca="false">IF(AND(A216&gt;=DATE(2014,9,24),A216&lt;=DATE(2014,10,6)),"Promo 1",IF(AND(A216&gt;=DATE(2014,9,10),A216&lt;=DATE(2014,9,23)),"Baseline 1",IF(AND(A216&gt;=DATE(2015,9,23),A216&lt;=DATE(2015,10,6)),"Promo 2",IF(AND(A216&gt;=DATE(2015,9,9),A216&lt;=DATE(2015,9,22)),"Baseline 2",IF(AND(A216&gt;=DATE(2016,6,23),A216&lt;=DATE(2016,7,6)),"Promo 3",IF(AND(A216&gt;=DATE(2016,6,9),A216&lt;=DATE(2016,6,22)),"Baseline 3","Other"))))))</f>
        <v>Other</v>
      </c>
    </row>
    <row r="217" customFormat="false" ht="15" hidden="false" customHeight="true" outlineLevel="0" collapsed="false">
      <c r="A217" s="12" t="n">
        <v>41853</v>
      </c>
      <c r="B217" s="13" t="n">
        <v>628685.218828356</v>
      </c>
      <c r="C217" s="13" t="n">
        <v>653779.963453244</v>
      </c>
      <c r="D217" s="14" t="n">
        <v>19384</v>
      </c>
      <c r="E217" s="15" t="n">
        <f aca="false">B217/D217</f>
        <v>32.4332036126886</v>
      </c>
      <c r="F217" s="15" t="n">
        <f aca="false">C217/D217</f>
        <v>33.7278148706791</v>
      </c>
      <c r="G217" s="13" t="n">
        <f aca="false">B217-C217</f>
        <v>-25094.7446248879</v>
      </c>
      <c r="H217" s="16" t="n">
        <f aca="false">G217/B217</f>
        <v>-0.0399162313242477</v>
      </c>
      <c r="I217" s="15" t="n">
        <f aca="false">G217/D217</f>
        <v>-1.2946112579905</v>
      </c>
      <c r="J217" s="16" t="n">
        <f aca="false">I217/E217</f>
        <v>-0.0399162313242477</v>
      </c>
      <c r="K217" s="17" t="str">
        <f aca="false">TEXT(A217,"dddd")</f>
        <v>Saturday</v>
      </c>
      <c r="L217" s="17" t="str">
        <f aca="false">IF(AND(A217&gt;=DATE(2014,9,24),A217&lt;=DATE(2014,10,6)),"Promo 1",IF(AND(A217&gt;=DATE(2014,9,10),A217&lt;=DATE(2014,9,23)),"Baseline 1",IF(AND(A217&gt;=DATE(2015,9,23),A217&lt;=DATE(2015,10,6)),"Promo 2",IF(AND(A217&gt;=DATE(2015,9,9),A217&lt;=DATE(2015,9,22)),"Baseline 2",IF(AND(A217&gt;=DATE(2016,6,23),A217&lt;=DATE(2016,7,6)),"Promo 3",IF(AND(A217&gt;=DATE(2016,6,9),A217&lt;=DATE(2016,6,22)),"Baseline 3","Other"))))))</f>
        <v>Other</v>
      </c>
    </row>
    <row r="218" customFormat="false" ht="15" hidden="false" customHeight="true" outlineLevel="0" collapsed="false">
      <c r="A218" s="12" t="n">
        <v>41854</v>
      </c>
      <c r="B218" s="13" t="n">
        <v>307272.683729957</v>
      </c>
      <c r="C218" s="13" t="n">
        <v>319500.009457128</v>
      </c>
      <c r="D218" s="14" t="n">
        <v>9473</v>
      </c>
      <c r="E218" s="15" t="n">
        <f aca="false">B218/D218</f>
        <v>32.4366814873807</v>
      </c>
      <c r="F218" s="15" t="n">
        <f aca="false">C218/D218</f>
        <v>33.7274368686929</v>
      </c>
      <c r="G218" s="13" t="n">
        <f aca="false">B218-C218</f>
        <v>-12227.325727171</v>
      </c>
      <c r="H218" s="16" t="n">
        <f aca="false">G218/B218</f>
        <v>-0.0397930775321274</v>
      </c>
      <c r="I218" s="15" t="n">
        <f aca="false">G218/D218</f>
        <v>-1.29075538131226</v>
      </c>
      <c r="J218" s="16" t="n">
        <f aca="false">I218/E218</f>
        <v>-0.0397930775321274</v>
      </c>
      <c r="K218" s="17" t="str">
        <f aca="false">TEXT(A218,"dddd")</f>
        <v>Sunday</v>
      </c>
      <c r="L218" s="17" t="str">
        <f aca="false">IF(AND(A218&gt;=DATE(2014,9,24),A218&lt;=DATE(2014,10,6)),"Promo 1",IF(AND(A218&gt;=DATE(2014,9,10),A218&lt;=DATE(2014,9,23)),"Baseline 1",IF(AND(A218&gt;=DATE(2015,9,23),A218&lt;=DATE(2015,10,6)),"Promo 2",IF(AND(A218&gt;=DATE(2015,9,9),A218&lt;=DATE(2015,9,22)),"Baseline 2",IF(AND(A218&gt;=DATE(2016,6,23),A218&lt;=DATE(2016,7,6)),"Promo 3",IF(AND(A218&gt;=DATE(2016,6,9),A218&lt;=DATE(2016,6,22)),"Baseline 3","Other"))))))</f>
        <v>Other</v>
      </c>
    </row>
    <row r="219" customFormat="false" ht="15" hidden="false" customHeight="true" outlineLevel="0" collapsed="false">
      <c r="A219" s="12" t="n">
        <v>41855</v>
      </c>
      <c r="B219" s="13" t="n">
        <v>362106.532635941</v>
      </c>
      <c r="C219" s="13" t="n">
        <v>376645.750934486</v>
      </c>
      <c r="D219" s="14" t="n">
        <v>11170</v>
      </c>
      <c r="E219" s="15" t="n">
        <f aca="false">B219/D219</f>
        <v>32.4177737364316</v>
      </c>
      <c r="F219" s="15" t="n">
        <f aca="false">C219/D219</f>
        <v>33.7194047389871</v>
      </c>
      <c r="G219" s="13" t="n">
        <f aca="false">B219-C219</f>
        <v>-14539.218298545</v>
      </c>
      <c r="H219" s="16" t="n">
        <f aca="false">G219/B219</f>
        <v>-0.0401517702337688</v>
      </c>
      <c r="I219" s="15" t="n">
        <f aca="false">G219/D219</f>
        <v>-1.30163100255551</v>
      </c>
      <c r="J219" s="16" t="n">
        <f aca="false">I219/E219</f>
        <v>-0.0401517702337688</v>
      </c>
      <c r="K219" s="17" t="str">
        <f aca="false">TEXT(A219,"dddd")</f>
        <v>Monday</v>
      </c>
      <c r="L219" s="17" t="str">
        <f aca="false">IF(AND(A219&gt;=DATE(2014,9,24),A219&lt;=DATE(2014,10,6)),"Promo 1",IF(AND(A219&gt;=DATE(2014,9,10),A219&lt;=DATE(2014,9,23)),"Baseline 1",IF(AND(A219&gt;=DATE(2015,9,23),A219&lt;=DATE(2015,10,6)),"Promo 2",IF(AND(A219&gt;=DATE(2015,9,9),A219&lt;=DATE(2015,9,22)),"Baseline 2",IF(AND(A219&gt;=DATE(2016,6,23),A219&lt;=DATE(2016,7,6)),"Promo 3",IF(AND(A219&gt;=DATE(2016,6,9),A219&lt;=DATE(2016,6,22)),"Baseline 3","Other"))))))</f>
        <v>Other</v>
      </c>
    </row>
    <row r="220" customFormat="false" ht="15" hidden="false" customHeight="true" outlineLevel="0" collapsed="false">
      <c r="A220" s="12" t="n">
        <v>41856</v>
      </c>
      <c r="B220" s="13" t="n">
        <v>262349.590972716</v>
      </c>
      <c r="C220" s="13" t="n">
        <v>272809.29044381</v>
      </c>
      <c r="D220" s="14" t="n">
        <v>8091</v>
      </c>
      <c r="E220" s="15" t="n">
        <f aca="false">B220/D220</f>
        <v>32.4248660206051</v>
      </c>
      <c r="F220" s="15" t="n">
        <f aca="false">C220/D220</f>
        <v>33.7176233399839</v>
      </c>
      <c r="G220" s="13" t="n">
        <f aca="false">B220-C220</f>
        <v>-10459.699471094</v>
      </c>
      <c r="H220" s="16" t="n">
        <f aca="false">G220/B220</f>
        <v>-0.0398693187678032</v>
      </c>
      <c r="I220" s="15" t="n">
        <f aca="false">G220/D220</f>
        <v>-1.29275731937882</v>
      </c>
      <c r="J220" s="16" t="n">
        <f aca="false">I220/E220</f>
        <v>-0.0398693187678032</v>
      </c>
      <c r="K220" s="17" t="str">
        <f aca="false">TEXT(A220,"dddd")</f>
        <v>Tuesday</v>
      </c>
      <c r="L220" s="17" t="str">
        <f aca="false">IF(AND(A220&gt;=DATE(2014,9,24),A220&lt;=DATE(2014,10,6)),"Promo 1",IF(AND(A220&gt;=DATE(2014,9,10),A220&lt;=DATE(2014,9,23)),"Baseline 1",IF(AND(A220&gt;=DATE(2015,9,23),A220&lt;=DATE(2015,10,6)),"Promo 2",IF(AND(A220&gt;=DATE(2015,9,9),A220&lt;=DATE(2015,9,22)),"Baseline 2",IF(AND(A220&gt;=DATE(2016,6,23),A220&lt;=DATE(2016,7,6)),"Promo 3",IF(AND(A220&gt;=DATE(2016,6,9),A220&lt;=DATE(2016,6,22)),"Baseline 3","Other"))))))</f>
        <v>Other</v>
      </c>
    </row>
    <row r="221" customFormat="false" ht="15" hidden="false" customHeight="true" outlineLevel="0" collapsed="false">
      <c r="A221" s="12" t="n">
        <v>41857</v>
      </c>
      <c r="B221" s="13" t="n">
        <v>80697.9035007912</v>
      </c>
      <c r="C221" s="13" t="n">
        <v>77649.6365332536</v>
      </c>
      <c r="D221" s="14" t="n">
        <v>2303</v>
      </c>
      <c r="E221" s="15" t="n">
        <f aca="false">B221/D221</f>
        <v>35.0403402087674</v>
      </c>
      <c r="F221" s="15" t="n">
        <f aca="false">C221/D221</f>
        <v>33.71673318856</v>
      </c>
      <c r="G221" s="13" t="n">
        <f aca="false">B221-C221</f>
        <v>3048.26696753761</v>
      </c>
      <c r="H221" s="16" t="n">
        <f aca="false">G221/B221</f>
        <v>0.0377738061994104</v>
      </c>
      <c r="I221" s="15" t="n">
        <f aca="false">G221/D221</f>
        <v>1.32360702020739</v>
      </c>
      <c r="J221" s="16" t="n">
        <f aca="false">I221/E221</f>
        <v>0.0377738061994104</v>
      </c>
      <c r="K221" s="17" t="str">
        <f aca="false">TEXT(A221,"dddd")</f>
        <v>Wednesday</v>
      </c>
      <c r="L221" s="17" t="str">
        <f aca="false">IF(AND(A221&gt;=DATE(2014,9,24),A221&lt;=DATE(2014,10,6)),"Promo 1",IF(AND(A221&gt;=DATE(2014,9,10),A221&lt;=DATE(2014,9,23)),"Baseline 1",IF(AND(A221&gt;=DATE(2015,9,23),A221&lt;=DATE(2015,10,6)),"Promo 2",IF(AND(A221&gt;=DATE(2015,9,9),A221&lt;=DATE(2015,9,22)),"Baseline 2",IF(AND(A221&gt;=DATE(2016,6,23),A221&lt;=DATE(2016,7,6)),"Promo 3",IF(AND(A221&gt;=DATE(2016,6,9),A221&lt;=DATE(2016,6,22)),"Baseline 3","Other"))))))</f>
        <v>Other</v>
      </c>
    </row>
    <row r="222" customFormat="false" ht="15" hidden="false" customHeight="true" outlineLevel="0" collapsed="false">
      <c r="A222" s="12" t="n">
        <v>41858</v>
      </c>
      <c r="B222" s="13" t="n">
        <v>103272.62271335</v>
      </c>
      <c r="C222" s="13" t="n">
        <v>99367.233222688</v>
      </c>
      <c r="D222" s="14" t="n">
        <v>2947</v>
      </c>
      <c r="E222" s="15" t="n">
        <f aca="false">B222/D222</f>
        <v>35.0433059767051</v>
      </c>
      <c r="F222" s="15" t="n">
        <f aca="false">C222/D222</f>
        <v>33.7180974627377</v>
      </c>
      <c r="G222" s="13" t="n">
        <f aca="false">B222-C222</f>
        <v>3905.38949066201</v>
      </c>
      <c r="H222" s="16" t="n">
        <f aca="false">G222/B222</f>
        <v>0.0378163097639348</v>
      </c>
      <c r="I222" s="15" t="n">
        <f aca="false">G222/D222</f>
        <v>1.32520851396743</v>
      </c>
      <c r="J222" s="16" t="n">
        <f aca="false">I222/E222</f>
        <v>0.0378163097639348</v>
      </c>
      <c r="K222" s="17" t="str">
        <f aca="false">TEXT(A222,"dddd")</f>
        <v>Thursday</v>
      </c>
      <c r="L222" s="17" t="str">
        <f aca="false">IF(AND(A222&gt;=DATE(2014,9,24),A222&lt;=DATE(2014,10,6)),"Promo 1",IF(AND(A222&gt;=DATE(2014,9,10),A222&lt;=DATE(2014,9,23)),"Baseline 1",IF(AND(A222&gt;=DATE(2015,9,23),A222&lt;=DATE(2015,10,6)),"Promo 2",IF(AND(A222&gt;=DATE(2015,9,9),A222&lt;=DATE(2015,9,22)),"Baseline 2",IF(AND(A222&gt;=DATE(2016,6,23),A222&lt;=DATE(2016,7,6)),"Promo 3",IF(AND(A222&gt;=DATE(2016,6,9),A222&lt;=DATE(2016,6,22)),"Baseline 3","Other"))))))</f>
        <v>Other</v>
      </c>
    </row>
    <row r="223" customFormat="false" ht="15" hidden="false" customHeight="true" outlineLevel="0" collapsed="false">
      <c r="A223" s="12" t="n">
        <v>41859</v>
      </c>
      <c r="B223" s="13" t="n">
        <v>439421.422067074</v>
      </c>
      <c r="C223" s="13" t="n">
        <v>456509.62185022</v>
      </c>
      <c r="D223" s="14" t="n">
        <v>13542</v>
      </c>
      <c r="E223" s="15" t="n">
        <f aca="false">B223/D223</f>
        <v>32.4487831979821</v>
      </c>
      <c r="F223" s="15" t="n">
        <f aca="false">C223/D223</f>
        <v>33.7106499667863</v>
      </c>
      <c r="G223" s="13" t="n">
        <f aca="false">B223-C223</f>
        <v>-17088.199783146</v>
      </c>
      <c r="H223" s="16" t="n">
        <f aca="false">G223/B223</f>
        <v>-0.03888795339736</v>
      </c>
      <c r="I223" s="15" t="n">
        <f aca="false">G223/D223</f>
        <v>-1.26186676880417</v>
      </c>
      <c r="J223" s="16" t="n">
        <f aca="false">I223/E223</f>
        <v>-0.03888795339736</v>
      </c>
      <c r="K223" s="17" t="str">
        <f aca="false">TEXT(A223,"dddd")</f>
        <v>Friday</v>
      </c>
      <c r="L223" s="17" t="str">
        <f aca="false">IF(AND(A223&gt;=DATE(2014,9,24),A223&lt;=DATE(2014,10,6)),"Promo 1",IF(AND(A223&gt;=DATE(2014,9,10),A223&lt;=DATE(2014,9,23)),"Baseline 1",IF(AND(A223&gt;=DATE(2015,9,23),A223&lt;=DATE(2015,10,6)),"Promo 2",IF(AND(A223&gt;=DATE(2015,9,9),A223&lt;=DATE(2015,9,22)),"Baseline 2",IF(AND(A223&gt;=DATE(2016,6,23),A223&lt;=DATE(2016,7,6)),"Promo 3",IF(AND(A223&gt;=DATE(2016,6,9),A223&lt;=DATE(2016,6,22)),"Baseline 3","Other"))))))</f>
        <v>Other</v>
      </c>
    </row>
    <row r="224" customFormat="false" ht="15" hidden="false" customHeight="true" outlineLevel="0" collapsed="false">
      <c r="A224" s="12" t="n">
        <v>41860</v>
      </c>
      <c r="B224" s="13" t="n">
        <v>408616.350631914</v>
      </c>
      <c r="C224" s="13" t="n">
        <v>424340.949382785</v>
      </c>
      <c r="D224" s="14" t="n">
        <v>12588</v>
      </c>
      <c r="E224" s="15" t="n">
        <f aca="false">B224/D224</f>
        <v>32.460784130276</v>
      </c>
      <c r="F224" s="15" t="n">
        <f aca="false">C224/D224</f>
        <v>33.7099578473773</v>
      </c>
      <c r="G224" s="13" t="n">
        <f aca="false">B224-C224</f>
        <v>-15724.598750871</v>
      </c>
      <c r="H224" s="16" t="n">
        <f aca="false">G224/B224</f>
        <v>-0.0384825490378771</v>
      </c>
      <c r="I224" s="15" t="n">
        <f aca="false">G224/D224</f>
        <v>-1.24917371710129</v>
      </c>
      <c r="J224" s="16" t="n">
        <f aca="false">I224/E224</f>
        <v>-0.0384825490378771</v>
      </c>
      <c r="K224" s="17" t="str">
        <f aca="false">TEXT(A224,"dddd")</f>
        <v>Saturday</v>
      </c>
      <c r="L224" s="17" t="str">
        <f aca="false">IF(AND(A224&gt;=DATE(2014,9,24),A224&lt;=DATE(2014,10,6)),"Promo 1",IF(AND(A224&gt;=DATE(2014,9,10),A224&lt;=DATE(2014,9,23)),"Baseline 1",IF(AND(A224&gt;=DATE(2015,9,23),A224&lt;=DATE(2015,10,6)),"Promo 2",IF(AND(A224&gt;=DATE(2015,9,9),A224&lt;=DATE(2015,9,22)),"Baseline 2",IF(AND(A224&gt;=DATE(2016,6,23),A224&lt;=DATE(2016,7,6)),"Promo 3",IF(AND(A224&gt;=DATE(2016,6,9),A224&lt;=DATE(2016,6,22)),"Baseline 3","Other"))))))</f>
        <v>Other</v>
      </c>
    </row>
    <row r="225" customFormat="false" ht="15" hidden="false" customHeight="true" outlineLevel="0" collapsed="false">
      <c r="A225" s="12" t="n">
        <v>41861</v>
      </c>
      <c r="B225" s="13" t="n">
        <v>195866.773019443</v>
      </c>
      <c r="C225" s="13" t="n">
        <v>203331.434784757</v>
      </c>
      <c r="D225" s="14" t="n">
        <v>6032</v>
      </c>
      <c r="E225" s="15" t="n">
        <f aca="false">B225/D225</f>
        <v>32.4712819992445</v>
      </c>
      <c r="F225" s="15" t="n">
        <f aca="false">C225/D225</f>
        <v>33.7087922388523</v>
      </c>
      <c r="G225" s="13" t="n">
        <f aca="false">B225-C225</f>
        <v>-7464.661765314</v>
      </c>
      <c r="H225" s="16" t="n">
        <f aca="false">G225/B225</f>
        <v>-0.0381109141190222</v>
      </c>
      <c r="I225" s="15" t="n">
        <f aca="false">G225/D225</f>
        <v>-1.23751023960776</v>
      </c>
      <c r="J225" s="16" t="n">
        <f aca="false">I225/E225</f>
        <v>-0.0381109141190222</v>
      </c>
      <c r="K225" s="17" t="str">
        <f aca="false">TEXT(A225,"dddd")</f>
        <v>Sunday</v>
      </c>
      <c r="L225" s="17" t="str">
        <f aca="false">IF(AND(A225&gt;=DATE(2014,9,24),A225&lt;=DATE(2014,10,6)),"Promo 1",IF(AND(A225&gt;=DATE(2014,9,10),A225&lt;=DATE(2014,9,23)),"Baseline 1",IF(AND(A225&gt;=DATE(2015,9,23),A225&lt;=DATE(2015,10,6)),"Promo 2",IF(AND(A225&gt;=DATE(2015,9,9),A225&lt;=DATE(2015,9,22)),"Baseline 2",IF(AND(A225&gt;=DATE(2016,6,23),A225&lt;=DATE(2016,7,6)),"Promo 3",IF(AND(A225&gt;=DATE(2016,6,9),A225&lt;=DATE(2016,6,22)),"Baseline 3","Other"))))))</f>
        <v>Other</v>
      </c>
    </row>
    <row r="226" customFormat="false" ht="15" hidden="false" customHeight="true" outlineLevel="0" collapsed="false">
      <c r="A226" s="12" t="n">
        <v>41862</v>
      </c>
      <c r="B226" s="13" t="n">
        <v>232347.35316929</v>
      </c>
      <c r="C226" s="13" t="n">
        <v>241134.527794406</v>
      </c>
      <c r="D226" s="14" t="n">
        <v>7158</v>
      </c>
      <c r="E226" s="15" t="n">
        <f aca="false">B226/D226</f>
        <v>32.4598146366709</v>
      </c>
      <c r="F226" s="15" t="n">
        <f aca="false">C226/D226</f>
        <v>33.6874165680925</v>
      </c>
      <c r="G226" s="13" t="n">
        <f aca="false">B226-C226</f>
        <v>-8787.17462511599</v>
      </c>
      <c r="H226" s="16" t="n">
        <f aca="false">G226/B226</f>
        <v>-0.0378191294424327</v>
      </c>
      <c r="I226" s="15" t="n">
        <f aca="false">G226/D226</f>
        <v>-1.22760193142163</v>
      </c>
      <c r="J226" s="16" t="n">
        <f aca="false">I226/E226</f>
        <v>-0.0378191294424327</v>
      </c>
      <c r="K226" s="17" t="str">
        <f aca="false">TEXT(A226,"dddd")</f>
        <v>Monday</v>
      </c>
      <c r="L226" s="17" t="str">
        <f aca="false">IF(AND(A226&gt;=DATE(2014,9,24),A226&lt;=DATE(2014,10,6)),"Promo 1",IF(AND(A226&gt;=DATE(2014,9,10),A226&lt;=DATE(2014,9,23)),"Baseline 1",IF(AND(A226&gt;=DATE(2015,9,23),A226&lt;=DATE(2015,10,6)),"Promo 2",IF(AND(A226&gt;=DATE(2015,9,9),A226&lt;=DATE(2015,9,22)),"Baseline 2",IF(AND(A226&gt;=DATE(2016,6,23),A226&lt;=DATE(2016,7,6)),"Promo 3",IF(AND(A226&gt;=DATE(2016,6,9),A226&lt;=DATE(2016,6,22)),"Baseline 3","Other"))))))</f>
        <v>Other</v>
      </c>
    </row>
    <row r="227" customFormat="false" ht="15" hidden="false" customHeight="true" outlineLevel="0" collapsed="false">
      <c r="A227" s="12" t="n">
        <v>41863</v>
      </c>
      <c r="B227" s="13" t="n">
        <v>190325.181143385</v>
      </c>
      <c r="C227" s="13" t="n">
        <v>197438.111638515</v>
      </c>
      <c r="D227" s="14" t="n">
        <v>5863</v>
      </c>
      <c r="E227" s="15" t="n">
        <f aca="false">B227/D227</f>
        <v>32.4620810410003</v>
      </c>
      <c r="F227" s="15" t="n">
        <f aca="false">C227/D227</f>
        <v>33.6752706188837</v>
      </c>
      <c r="G227" s="13" t="n">
        <f aca="false">B227-C227</f>
        <v>-7112.93049512999</v>
      </c>
      <c r="H227" s="16" t="n">
        <f aca="false">G227/B227</f>
        <v>-0.0373725139910484</v>
      </c>
      <c r="I227" s="15" t="n">
        <f aca="false">G227/D227</f>
        <v>-1.21318957788333</v>
      </c>
      <c r="J227" s="16" t="n">
        <f aca="false">I227/E227</f>
        <v>-0.0373725139910484</v>
      </c>
      <c r="K227" s="17" t="str">
        <f aca="false">TEXT(A227,"dddd")</f>
        <v>Tuesday</v>
      </c>
      <c r="L227" s="17" t="str">
        <f aca="false">IF(AND(A227&gt;=DATE(2014,9,24),A227&lt;=DATE(2014,10,6)),"Promo 1",IF(AND(A227&gt;=DATE(2014,9,10),A227&lt;=DATE(2014,9,23)),"Baseline 1",IF(AND(A227&gt;=DATE(2015,9,23),A227&lt;=DATE(2015,10,6)),"Promo 2",IF(AND(A227&gt;=DATE(2015,9,9),A227&lt;=DATE(2015,9,22)),"Baseline 2",IF(AND(A227&gt;=DATE(2016,6,23),A227&lt;=DATE(2016,7,6)),"Promo 3",IF(AND(A227&gt;=DATE(2016,6,9),A227&lt;=DATE(2016,6,22)),"Baseline 3","Other"))))))</f>
        <v>Other</v>
      </c>
    </row>
    <row r="228" customFormat="false" ht="15" hidden="false" customHeight="true" outlineLevel="0" collapsed="false">
      <c r="A228" s="12" t="n">
        <v>41864</v>
      </c>
      <c r="B228" s="13" t="n">
        <v>197698.118550841</v>
      </c>
      <c r="C228" s="13" t="n">
        <v>205114.128948227</v>
      </c>
      <c r="D228" s="14" t="n">
        <v>6092</v>
      </c>
      <c r="E228" s="15" t="n">
        <f aca="false">B228/D228</f>
        <v>32.4520877463626</v>
      </c>
      <c r="F228" s="15" t="n">
        <f aca="false">C228/D228</f>
        <v>33.6694236618889</v>
      </c>
      <c r="G228" s="13" t="n">
        <f aca="false">B228-C228</f>
        <v>-7416.01039738601</v>
      </c>
      <c r="H228" s="16" t="n">
        <f aca="false">G228/B228</f>
        <v>-0.0375117904598514</v>
      </c>
      <c r="I228" s="15" t="n">
        <f aca="false">G228/D228</f>
        <v>-1.21733591552627</v>
      </c>
      <c r="J228" s="16" t="n">
        <f aca="false">I228/E228</f>
        <v>-0.0375117904598514</v>
      </c>
      <c r="K228" s="17" t="str">
        <f aca="false">TEXT(A228,"dddd")</f>
        <v>Wednesday</v>
      </c>
      <c r="L228" s="17" t="str">
        <f aca="false">IF(AND(A228&gt;=DATE(2014,9,24),A228&lt;=DATE(2014,10,6)),"Promo 1",IF(AND(A228&gt;=DATE(2014,9,10),A228&lt;=DATE(2014,9,23)),"Baseline 1",IF(AND(A228&gt;=DATE(2015,9,23),A228&lt;=DATE(2015,10,6)),"Promo 2",IF(AND(A228&gt;=DATE(2015,9,9),A228&lt;=DATE(2015,9,22)),"Baseline 2",IF(AND(A228&gt;=DATE(2016,6,23),A228&lt;=DATE(2016,7,6)),"Promo 3",IF(AND(A228&gt;=DATE(2016,6,9),A228&lt;=DATE(2016,6,22)),"Baseline 3","Other"))))))</f>
        <v>Other</v>
      </c>
    </row>
    <row r="229" customFormat="false" ht="15" hidden="false" customHeight="true" outlineLevel="0" collapsed="false">
      <c r="A229" s="12" t="n">
        <v>41865</v>
      </c>
      <c r="B229" s="13" t="n">
        <v>177908.835604849</v>
      </c>
      <c r="C229" s="13" t="n">
        <v>184687.529140367</v>
      </c>
      <c r="D229" s="14" t="n">
        <v>5485</v>
      </c>
      <c r="E229" s="15" t="n">
        <f aca="false">B229/D229</f>
        <v>32.4355215323335</v>
      </c>
      <c r="F229" s="15" t="n">
        <f aca="false">C229/D229</f>
        <v>33.6713817940505</v>
      </c>
      <c r="G229" s="13" t="n">
        <f aca="false">B229-C229</f>
        <v>-6778.69353551799</v>
      </c>
      <c r="H229" s="16" t="n">
        <f aca="false">G229/B229</f>
        <v>-0.0381020622864064</v>
      </c>
      <c r="I229" s="15" t="n">
        <f aca="false">G229/D229</f>
        <v>-1.23586026171704</v>
      </c>
      <c r="J229" s="16" t="n">
        <f aca="false">I229/E229</f>
        <v>-0.0381020622864064</v>
      </c>
      <c r="K229" s="17" t="str">
        <f aca="false">TEXT(A229,"dddd")</f>
        <v>Thursday</v>
      </c>
      <c r="L229" s="17" t="str">
        <f aca="false">IF(AND(A229&gt;=DATE(2014,9,24),A229&lt;=DATE(2014,10,6)),"Promo 1",IF(AND(A229&gt;=DATE(2014,9,10),A229&lt;=DATE(2014,9,23)),"Baseline 1",IF(AND(A229&gt;=DATE(2015,9,23),A229&lt;=DATE(2015,10,6)),"Promo 2",IF(AND(A229&gt;=DATE(2015,9,9),A229&lt;=DATE(2015,9,22)),"Baseline 2",IF(AND(A229&gt;=DATE(2016,6,23),A229&lt;=DATE(2016,7,6)),"Promo 3",IF(AND(A229&gt;=DATE(2016,6,9),A229&lt;=DATE(2016,6,22)),"Baseline 3","Other"))))))</f>
        <v>Other</v>
      </c>
    </row>
    <row r="230" customFormat="false" ht="15" hidden="false" customHeight="true" outlineLevel="0" collapsed="false">
      <c r="A230" s="12" t="n">
        <v>41866</v>
      </c>
      <c r="B230" s="13" t="n">
        <v>473321.882451754</v>
      </c>
      <c r="C230" s="13" t="n">
        <v>491559.422963044</v>
      </c>
      <c r="D230" s="14" t="n">
        <v>14587</v>
      </c>
      <c r="E230" s="15" t="n">
        <f aca="false">B230/D230</f>
        <v>32.4481992494518</v>
      </c>
      <c r="F230" s="15" t="n">
        <f aca="false">C230/D230</f>
        <v>33.6984591048909</v>
      </c>
      <c r="G230" s="13" t="n">
        <f aca="false">B230-C230</f>
        <v>-18237.54051129</v>
      </c>
      <c r="H230" s="16" t="n">
        <f aca="false">G230/B230</f>
        <v>-0.038530947305503</v>
      </c>
      <c r="I230" s="15" t="n">
        <f aca="false">G230/D230</f>
        <v>-1.25025985543909</v>
      </c>
      <c r="J230" s="16" t="n">
        <f aca="false">I230/E230</f>
        <v>-0.038530947305503</v>
      </c>
      <c r="K230" s="17" t="str">
        <f aca="false">TEXT(A230,"dddd")</f>
        <v>Friday</v>
      </c>
      <c r="L230" s="17" t="str">
        <f aca="false">IF(AND(A230&gt;=DATE(2014,9,24),A230&lt;=DATE(2014,10,6)),"Promo 1",IF(AND(A230&gt;=DATE(2014,9,10),A230&lt;=DATE(2014,9,23)),"Baseline 1",IF(AND(A230&gt;=DATE(2015,9,23),A230&lt;=DATE(2015,10,6)),"Promo 2",IF(AND(A230&gt;=DATE(2015,9,9),A230&lt;=DATE(2015,9,22)),"Baseline 2",IF(AND(A230&gt;=DATE(2016,6,23),A230&lt;=DATE(2016,7,6)),"Promo 3",IF(AND(A230&gt;=DATE(2016,6,9),A230&lt;=DATE(2016,6,22)),"Baseline 3","Other"))))))</f>
        <v>Other</v>
      </c>
    </row>
    <row r="231" customFormat="false" ht="15" hidden="false" customHeight="true" outlineLevel="0" collapsed="false">
      <c r="A231" s="12" t="n">
        <v>41867</v>
      </c>
      <c r="B231" s="13" t="n">
        <v>541600.892159531</v>
      </c>
      <c r="C231" s="13" t="n">
        <v>562953.370773654</v>
      </c>
      <c r="D231" s="14" t="n">
        <v>16686</v>
      </c>
      <c r="E231" s="15" t="n">
        <f aca="false">B231/D231</f>
        <v>32.458401783503</v>
      </c>
      <c r="F231" s="15" t="n">
        <f aca="false">C231/D231</f>
        <v>33.7380660897551</v>
      </c>
      <c r="G231" s="13" t="n">
        <f aca="false">B231-C231</f>
        <v>-21352.478614123</v>
      </c>
      <c r="H231" s="16" t="n">
        <f aca="false">G231/B231</f>
        <v>-0.0394247478599675</v>
      </c>
      <c r="I231" s="15" t="n">
        <f aca="false">G231/D231</f>
        <v>-1.27966430625213</v>
      </c>
      <c r="J231" s="16" t="n">
        <f aca="false">I231/E231</f>
        <v>-0.0394247478599675</v>
      </c>
      <c r="K231" s="17" t="str">
        <f aca="false">TEXT(A231,"dddd")</f>
        <v>Saturday</v>
      </c>
      <c r="L231" s="17" t="str">
        <f aca="false">IF(AND(A231&gt;=DATE(2014,9,24),A231&lt;=DATE(2014,10,6)),"Promo 1",IF(AND(A231&gt;=DATE(2014,9,10),A231&lt;=DATE(2014,9,23)),"Baseline 1",IF(AND(A231&gt;=DATE(2015,9,23),A231&lt;=DATE(2015,10,6)),"Promo 2",IF(AND(A231&gt;=DATE(2015,9,9),A231&lt;=DATE(2015,9,22)),"Baseline 2",IF(AND(A231&gt;=DATE(2016,6,23),A231&lt;=DATE(2016,7,6)),"Promo 3",IF(AND(A231&gt;=DATE(2016,6,9),A231&lt;=DATE(2016,6,22)),"Baseline 3","Other"))))))</f>
        <v>Other</v>
      </c>
    </row>
    <row r="232" customFormat="false" ht="15" hidden="false" customHeight="true" outlineLevel="0" collapsed="false">
      <c r="A232" s="12" t="n">
        <v>41868</v>
      </c>
      <c r="B232" s="13" t="n">
        <v>239513.979042657</v>
      </c>
      <c r="C232" s="13" t="n">
        <v>249203.120768225</v>
      </c>
      <c r="D232" s="14" t="n">
        <v>7380</v>
      </c>
      <c r="E232" s="15" t="n">
        <f aca="false">B232/D232</f>
        <v>32.4544687049671</v>
      </c>
      <c r="F232" s="15" t="n">
        <f aca="false">C232/D232</f>
        <v>33.7673605376999</v>
      </c>
      <c r="G232" s="13" t="n">
        <f aca="false">B232-C232</f>
        <v>-9689.14172556798</v>
      </c>
      <c r="H232" s="16" t="n">
        <f aca="false">G232/B232</f>
        <v>-0.0404533454134732</v>
      </c>
      <c r="I232" s="15" t="n">
        <f aca="false">G232/D232</f>
        <v>-1.31289183273279</v>
      </c>
      <c r="J232" s="16" t="n">
        <f aca="false">I232/E232</f>
        <v>-0.0404533454134732</v>
      </c>
      <c r="K232" s="17" t="str">
        <f aca="false">TEXT(A232,"dddd")</f>
        <v>Sunday</v>
      </c>
      <c r="L232" s="17" t="str">
        <f aca="false">IF(AND(A232&gt;=DATE(2014,9,24),A232&lt;=DATE(2014,10,6)),"Promo 1",IF(AND(A232&gt;=DATE(2014,9,10),A232&lt;=DATE(2014,9,23)),"Baseline 1",IF(AND(A232&gt;=DATE(2015,9,23),A232&lt;=DATE(2015,10,6)),"Promo 2",IF(AND(A232&gt;=DATE(2015,9,9),A232&lt;=DATE(2015,9,22)),"Baseline 2",IF(AND(A232&gt;=DATE(2016,6,23),A232&lt;=DATE(2016,7,6)),"Promo 3",IF(AND(A232&gt;=DATE(2016,6,9),A232&lt;=DATE(2016,6,22)),"Baseline 3","Other"))))))</f>
        <v>Other</v>
      </c>
    </row>
    <row r="233" customFormat="false" ht="15" hidden="false" customHeight="true" outlineLevel="0" collapsed="false">
      <c r="A233" s="12" t="n">
        <v>41869</v>
      </c>
      <c r="B233" s="13" t="n">
        <v>255224.222552353</v>
      </c>
      <c r="C233" s="13" t="n">
        <v>265532.546204822</v>
      </c>
      <c r="D233" s="14" t="n">
        <v>7864</v>
      </c>
      <c r="E233" s="15" t="n">
        <f aca="false">B233/D233</f>
        <v>32.4547587172372</v>
      </c>
      <c r="F233" s="15" t="n">
        <f aca="false">C233/D233</f>
        <v>33.7655831898299</v>
      </c>
      <c r="G233" s="13" t="n">
        <f aca="false">B233-C233</f>
        <v>-10308.323652469</v>
      </c>
      <c r="H233" s="16" t="n">
        <f aca="false">G233/B233</f>
        <v>-0.0403892841728787</v>
      </c>
      <c r="I233" s="15" t="n">
        <f aca="false">G233/D233</f>
        <v>-1.3108244725927</v>
      </c>
      <c r="J233" s="16" t="n">
        <f aca="false">I233/E233</f>
        <v>-0.0403892841728787</v>
      </c>
      <c r="K233" s="17" t="str">
        <f aca="false">TEXT(A233,"dddd")</f>
        <v>Monday</v>
      </c>
      <c r="L233" s="17" t="str">
        <f aca="false">IF(AND(A233&gt;=DATE(2014,9,24),A233&lt;=DATE(2014,10,6)),"Promo 1",IF(AND(A233&gt;=DATE(2014,9,10),A233&lt;=DATE(2014,9,23)),"Baseline 1",IF(AND(A233&gt;=DATE(2015,9,23),A233&lt;=DATE(2015,10,6)),"Promo 2",IF(AND(A233&gt;=DATE(2015,9,9),A233&lt;=DATE(2015,9,22)),"Baseline 2",IF(AND(A233&gt;=DATE(2016,6,23),A233&lt;=DATE(2016,7,6)),"Promo 3",IF(AND(A233&gt;=DATE(2016,6,9),A233&lt;=DATE(2016,6,22)),"Baseline 3","Other"))))))</f>
        <v>Other</v>
      </c>
    </row>
    <row r="234" customFormat="false" ht="15" hidden="false" customHeight="true" outlineLevel="0" collapsed="false">
      <c r="A234" s="12" t="n">
        <v>41870</v>
      </c>
      <c r="B234" s="13" t="n">
        <v>160372.03970903</v>
      </c>
      <c r="C234" s="13" t="n">
        <v>167021.157829009</v>
      </c>
      <c r="D234" s="14" t="n">
        <v>4941</v>
      </c>
      <c r="E234" s="15" t="n">
        <f aca="false">B234/D234</f>
        <v>32.4574053246367</v>
      </c>
      <c r="F234" s="15" t="n">
        <f aca="false">C234/D234</f>
        <v>33.80310824307</v>
      </c>
      <c r="G234" s="13" t="n">
        <f aca="false">B234-C234</f>
        <v>-6649.11811997899</v>
      </c>
      <c r="H234" s="16" t="n">
        <f aca="false">G234/B234</f>
        <v>-0.0414605821067237</v>
      </c>
      <c r="I234" s="15" t="n">
        <f aca="false">G234/D234</f>
        <v>-1.34570291843331</v>
      </c>
      <c r="J234" s="16" t="n">
        <f aca="false">I234/E234</f>
        <v>-0.0414605821067237</v>
      </c>
      <c r="K234" s="17" t="str">
        <f aca="false">TEXT(A234,"dddd")</f>
        <v>Tuesday</v>
      </c>
      <c r="L234" s="17" t="str">
        <f aca="false">IF(AND(A234&gt;=DATE(2014,9,24),A234&lt;=DATE(2014,10,6)),"Promo 1",IF(AND(A234&gt;=DATE(2014,9,10),A234&lt;=DATE(2014,9,23)),"Baseline 1",IF(AND(A234&gt;=DATE(2015,9,23),A234&lt;=DATE(2015,10,6)),"Promo 2",IF(AND(A234&gt;=DATE(2015,9,9),A234&lt;=DATE(2015,9,22)),"Baseline 2",IF(AND(A234&gt;=DATE(2016,6,23),A234&lt;=DATE(2016,7,6)),"Promo 3",IF(AND(A234&gt;=DATE(2016,6,9),A234&lt;=DATE(2016,6,22)),"Baseline 3","Other"))))))</f>
        <v>Other</v>
      </c>
    </row>
    <row r="235" customFormat="false" ht="15" hidden="false" customHeight="true" outlineLevel="0" collapsed="false">
      <c r="A235" s="12" t="n">
        <v>41871</v>
      </c>
      <c r="B235" s="13" t="n">
        <v>171587.33225254</v>
      </c>
      <c r="C235" s="13" t="n">
        <v>174723.175427944</v>
      </c>
      <c r="D235" s="14" t="n">
        <v>5151</v>
      </c>
      <c r="E235" s="15" t="n">
        <f aca="false">B235/D235</f>
        <v>33.3114603479985</v>
      </c>
      <c r="F235" s="15" t="n">
        <f aca="false">C235/D235</f>
        <v>33.9202437250911</v>
      </c>
      <c r="G235" s="13" t="n">
        <f aca="false">B235-C235</f>
        <v>-3135.84317540398</v>
      </c>
      <c r="H235" s="16" t="n">
        <f aca="false">G235/B235</f>
        <v>-0.0182754935008179</v>
      </c>
      <c r="I235" s="15" t="n">
        <f aca="false">G235/D235</f>
        <v>-0.608783377092599</v>
      </c>
      <c r="J235" s="16" t="n">
        <f aca="false">I235/E235</f>
        <v>-0.0182754935008179</v>
      </c>
      <c r="K235" s="17" t="str">
        <f aca="false">TEXT(A235,"dddd")</f>
        <v>Wednesday</v>
      </c>
      <c r="L235" s="17" t="str">
        <f aca="false">IF(AND(A235&gt;=DATE(2014,9,24),A235&lt;=DATE(2014,10,6)),"Promo 1",IF(AND(A235&gt;=DATE(2014,9,10),A235&lt;=DATE(2014,9,23)),"Baseline 1",IF(AND(A235&gt;=DATE(2015,9,23),A235&lt;=DATE(2015,10,6)),"Promo 2",IF(AND(A235&gt;=DATE(2015,9,9),A235&lt;=DATE(2015,9,22)),"Baseline 2",IF(AND(A235&gt;=DATE(2016,6,23),A235&lt;=DATE(2016,7,6)),"Promo 3",IF(AND(A235&gt;=DATE(2016,6,9),A235&lt;=DATE(2016,6,22)),"Baseline 3","Other"))))))</f>
        <v>Other</v>
      </c>
    </row>
    <row r="236" customFormat="false" ht="15" hidden="false" customHeight="true" outlineLevel="0" collapsed="false">
      <c r="A236" s="12" t="n">
        <v>41872</v>
      </c>
      <c r="B236" s="13" t="n">
        <v>164208.060612595</v>
      </c>
      <c r="C236" s="13" t="n">
        <v>167239.648759931</v>
      </c>
      <c r="D236" s="14" t="n">
        <v>4928</v>
      </c>
      <c r="E236" s="15" t="n">
        <f aca="false">B236/D236</f>
        <v>33.3214408710623</v>
      </c>
      <c r="F236" s="15" t="n">
        <f aca="false">C236/D236</f>
        <v>33.9366170373237</v>
      </c>
      <c r="G236" s="13" t="n">
        <f aca="false">B236-C236</f>
        <v>-3031.58814733601</v>
      </c>
      <c r="H236" s="16" t="n">
        <f aca="false">G236/B236</f>
        <v>-0.0184618717012207</v>
      </c>
      <c r="I236" s="15" t="n">
        <f aca="false">G236/D236</f>
        <v>-0.615176166261365</v>
      </c>
      <c r="J236" s="16" t="n">
        <f aca="false">I236/E236</f>
        <v>-0.0184618717012207</v>
      </c>
      <c r="K236" s="17" t="str">
        <f aca="false">TEXT(A236,"dddd")</f>
        <v>Thursday</v>
      </c>
      <c r="L236" s="17" t="str">
        <f aca="false">IF(AND(A236&gt;=DATE(2014,9,24),A236&lt;=DATE(2014,10,6)),"Promo 1",IF(AND(A236&gt;=DATE(2014,9,10),A236&lt;=DATE(2014,9,23)),"Baseline 1",IF(AND(A236&gt;=DATE(2015,9,23),A236&lt;=DATE(2015,10,6)),"Promo 2",IF(AND(A236&gt;=DATE(2015,9,9),A236&lt;=DATE(2015,9,22)),"Baseline 2",IF(AND(A236&gt;=DATE(2016,6,23),A236&lt;=DATE(2016,7,6)),"Promo 3",IF(AND(A236&gt;=DATE(2016,6,9),A236&lt;=DATE(2016,6,22)),"Baseline 3","Other"))))))</f>
        <v>Other</v>
      </c>
    </row>
    <row r="237" customFormat="false" ht="15" hidden="false" customHeight="true" outlineLevel="0" collapsed="false">
      <c r="A237" s="12" t="n">
        <v>41873</v>
      </c>
      <c r="B237" s="13" t="n">
        <v>376778.835704498</v>
      </c>
      <c r="C237" s="13" t="n">
        <v>384006.045320909</v>
      </c>
      <c r="D237" s="14" t="n">
        <v>11309</v>
      </c>
      <c r="E237" s="15" t="n">
        <f aca="false">B237/D237</f>
        <v>33.3167243526835</v>
      </c>
      <c r="F237" s="15" t="n">
        <f aca="false">C237/D237</f>
        <v>33.955791433452</v>
      </c>
      <c r="G237" s="13" t="n">
        <f aca="false">B237-C237</f>
        <v>-7227.20961641101</v>
      </c>
      <c r="H237" s="16" t="n">
        <f aca="false">G237/B237</f>
        <v>-0.0191815700128104</v>
      </c>
      <c r="I237" s="15" t="n">
        <f aca="false">G237/D237</f>
        <v>-0.639067080768504</v>
      </c>
      <c r="J237" s="16" t="n">
        <f aca="false">I237/E237</f>
        <v>-0.0191815700128104</v>
      </c>
      <c r="K237" s="17" t="str">
        <f aca="false">TEXT(A237,"dddd")</f>
        <v>Friday</v>
      </c>
      <c r="L237" s="17" t="str">
        <f aca="false">IF(AND(A237&gt;=DATE(2014,9,24),A237&lt;=DATE(2014,10,6)),"Promo 1",IF(AND(A237&gt;=DATE(2014,9,10),A237&lt;=DATE(2014,9,23)),"Baseline 1",IF(AND(A237&gt;=DATE(2015,9,23),A237&lt;=DATE(2015,10,6)),"Promo 2",IF(AND(A237&gt;=DATE(2015,9,9),A237&lt;=DATE(2015,9,22)),"Baseline 2",IF(AND(A237&gt;=DATE(2016,6,23),A237&lt;=DATE(2016,7,6)),"Promo 3",IF(AND(A237&gt;=DATE(2016,6,9),A237&lt;=DATE(2016,6,22)),"Baseline 3","Other"))))))</f>
        <v>Other</v>
      </c>
    </row>
    <row r="238" customFormat="false" ht="15" hidden="false" customHeight="true" outlineLevel="0" collapsed="false">
      <c r="A238" s="12" t="n">
        <v>41874</v>
      </c>
      <c r="B238" s="13" t="n">
        <v>453633.473978322</v>
      </c>
      <c r="C238" s="13" t="n">
        <v>463250.071255098</v>
      </c>
      <c r="D238" s="14" t="n">
        <v>13613</v>
      </c>
      <c r="E238" s="15" t="n">
        <f aca="false">B238/D238</f>
        <v>33.3235491058784</v>
      </c>
      <c r="F238" s="15" t="n">
        <f aca="false">C238/D238</f>
        <v>34.0299765852566</v>
      </c>
      <c r="G238" s="13" t="n">
        <f aca="false">B238-C238</f>
        <v>-9616.59727677598</v>
      </c>
      <c r="H238" s="16" t="n">
        <f aca="false">G238/B238</f>
        <v>-0.0211990468702394</v>
      </c>
      <c r="I238" s="15" t="n">
        <f aca="false">G238/D238</f>
        <v>-0.70642747937824</v>
      </c>
      <c r="J238" s="16" t="n">
        <f aca="false">I238/E238</f>
        <v>-0.0211990468702394</v>
      </c>
      <c r="K238" s="17" t="str">
        <f aca="false">TEXT(A238,"dddd")</f>
        <v>Saturday</v>
      </c>
      <c r="L238" s="17" t="str">
        <f aca="false">IF(AND(A238&gt;=DATE(2014,9,24),A238&lt;=DATE(2014,10,6)),"Promo 1",IF(AND(A238&gt;=DATE(2014,9,10),A238&lt;=DATE(2014,9,23)),"Baseline 1",IF(AND(A238&gt;=DATE(2015,9,23),A238&lt;=DATE(2015,10,6)),"Promo 2",IF(AND(A238&gt;=DATE(2015,9,9),A238&lt;=DATE(2015,9,22)),"Baseline 2",IF(AND(A238&gt;=DATE(2016,6,23),A238&lt;=DATE(2016,7,6)),"Promo 3",IF(AND(A238&gt;=DATE(2016,6,9),A238&lt;=DATE(2016,6,22)),"Baseline 3","Other"))))))</f>
        <v>Other</v>
      </c>
    </row>
    <row r="239" customFormat="false" ht="15" hidden="false" customHeight="true" outlineLevel="0" collapsed="false">
      <c r="A239" s="12" t="n">
        <v>41875</v>
      </c>
      <c r="B239" s="13" t="n">
        <v>214392.400852753</v>
      </c>
      <c r="C239" s="13" t="n">
        <v>218347.797776929</v>
      </c>
      <c r="D239" s="14" t="n">
        <v>6424</v>
      </c>
      <c r="E239" s="15" t="n">
        <f aca="false">B239/D239</f>
        <v>33.3736614029815</v>
      </c>
      <c r="F239" s="15" t="n">
        <f aca="false">C239/D239</f>
        <v>33.9893832155867</v>
      </c>
      <c r="G239" s="13" t="n">
        <f aca="false">B239-C239</f>
        <v>-3955.39692417599</v>
      </c>
      <c r="H239" s="16" t="n">
        <f aca="false">G239/B239</f>
        <v>-0.018449333597848</v>
      </c>
      <c r="I239" s="15" t="n">
        <f aca="false">G239/D239</f>
        <v>-0.615721812605229</v>
      </c>
      <c r="J239" s="16" t="n">
        <f aca="false">I239/E239</f>
        <v>-0.018449333597848</v>
      </c>
      <c r="K239" s="17" t="str">
        <f aca="false">TEXT(A239,"dddd")</f>
        <v>Sunday</v>
      </c>
      <c r="L239" s="17" t="str">
        <f aca="false">IF(AND(A239&gt;=DATE(2014,9,24),A239&lt;=DATE(2014,10,6)),"Promo 1",IF(AND(A239&gt;=DATE(2014,9,10),A239&lt;=DATE(2014,9,23)),"Baseline 1",IF(AND(A239&gt;=DATE(2015,9,23),A239&lt;=DATE(2015,10,6)),"Promo 2",IF(AND(A239&gt;=DATE(2015,9,9),A239&lt;=DATE(2015,9,22)),"Baseline 2",IF(AND(A239&gt;=DATE(2016,6,23),A239&lt;=DATE(2016,7,6)),"Promo 3",IF(AND(A239&gt;=DATE(2016,6,9),A239&lt;=DATE(2016,6,22)),"Baseline 3","Other"))))))</f>
        <v>Other</v>
      </c>
    </row>
    <row r="240" customFormat="false" ht="15" hidden="false" customHeight="true" outlineLevel="0" collapsed="false">
      <c r="A240" s="12" t="n">
        <v>41876</v>
      </c>
      <c r="B240" s="13" t="n">
        <v>316404.06232243</v>
      </c>
      <c r="C240" s="13" t="n">
        <v>323293.396640473</v>
      </c>
      <c r="D240" s="14" t="n">
        <v>9493</v>
      </c>
      <c r="E240" s="15" t="n">
        <f aca="false">B240/D240</f>
        <v>33.3302499022891</v>
      </c>
      <c r="F240" s="15" t="n">
        <f aca="false">C240/D240</f>
        <v>34.0559777352231</v>
      </c>
      <c r="G240" s="13" t="n">
        <f aca="false">B240-C240</f>
        <v>-6889.33431804297</v>
      </c>
      <c r="H240" s="16" t="n">
        <f aca="false">G240/B240</f>
        <v>-0.0217738491328927</v>
      </c>
      <c r="I240" s="15" t="n">
        <f aca="false">G240/D240</f>
        <v>-0.725727832934053</v>
      </c>
      <c r="J240" s="16" t="n">
        <f aca="false">I240/E240</f>
        <v>-0.0217738491328927</v>
      </c>
      <c r="K240" s="17" t="str">
        <f aca="false">TEXT(A240,"dddd")</f>
        <v>Monday</v>
      </c>
      <c r="L240" s="17" t="str">
        <f aca="false">IF(AND(A240&gt;=DATE(2014,9,24),A240&lt;=DATE(2014,10,6)),"Promo 1",IF(AND(A240&gt;=DATE(2014,9,10),A240&lt;=DATE(2014,9,23)),"Baseline 1",IF(AND(A240&gt;=DATE(2015,9,23),A240&lt;=DATE(2015,10,6)),"Promo 2",IF(AND(A240&gt;=DATE(2015,9,9),A240&lt;=DATE(2015,9,22)),"Baseline 2",IF(AND(A240&gt;=DATE(2016,6,23),A240&lt;=DATE(2016,7,6)),"Promo 3",IF(AND(A240&gt;=DATE(2016,6,9),A240&lt;=DATE(2016,6,22)),"Baseline 3","Other"))))))</f>
        <v>Other</v>
      </c>
    </row>
    <row r="241" customFormat="false" ht="15" hidden="false" customHeight="true" outlineLevel="0" collapsed="false">
      <c r="A241" s="12" t="n">
        <v>41877</v>
      </c>
      <c r="B241" s="13" t="n">
        <v>242824.501340455</v>
      </c>
      <c r="C241" s="13" t="n">
        <v>259860.512548686</v>
      </c>
      <c r="D241" s="14" t="n">
        <v>7619</v>
      </c>
      <c r="E241" s="15" t="n">
        <f aca="false">B241/D241</f>
        <v>31.8709149941534</v>
      </c>
      <c r="F241" s="15" t="n">
        <f aca="false">C241/D241</f>
        <v>34.106905440174</v>
      </c>
      <c r="G241" s="13" t="n">
        <f aca="false">B241-C241</f>
        <v>-17036.011208231</v>
      </c>
      <c r="H241" s="16" t="n">
        <f aca="false">G241/B241</f>
        <v>-0.0701577110801742</v>
      </c>
      <c r="I241" s="15" t="n">
        <f aca="false">G241/D241</f>
        <v>-2.23599044602061</v>
      </c>
      <c r="J241" s="16" t="n">
        <f aca="false">I241/E241</f>
        <v>-0.0701577110801742</v>
      </c>
      <c r="K241" s="17" t="str">
        <f aca="false">TEXT(A241,"dddd")</f>
        <v>Tuesday</v>
      </c>
      <c r="L241" s="17" t="str">
        <f aca="false">IF(AND(A241&gt;=DATE(2014,9,24),A241&lt;=DATE(2014,10,6)),"Promo 1",IF(AND(A241&gt;=DATE(2014,9,10),A241&lt;=DATE(2014,9,23)),"Baseline 1",IF(AND(A241&gt;=DATE(2015,9,23),A241&lt;=DATE(2015,10,6)),"Promo 2",IF(AND(A241&gt;=DATE(2015,9,9),A241&lt;=DATE(2015,9,22)),"Baseline 2",IF(AND(A241&gt;=DATE(2016,6,23),A241&lt;=DATE(2016,7,6)),"Promo 3",IF(AND(A241&gt;=DATE(2016,6,9),A241&lt;=DATE(2016,6,22)),"Baseline 3","Other"))))))</f>
        <v>Other</v>
      </c>
    </row>
    <row r="242" customFormat="false" ht="15" hidden="false" customHeight="true" outlineLevel="0" collapsed="false">
      <c r="A242" s="12" t="n">
        <v>41878</v>
      </c>
      <c r="B242" s="13" t="n">
        <v>274712.25328417</v>
      </c>
      <c r="C242" s="13" t="n">
        <v>304334.784643437</v>
      </c>
      <c r="D242" s="14" t="n">
        <v>8909</v>
      </c>
      <c r="E242" s="15" t="n">
        <f aca="false">B242/D242</f>
        <v>30.8353634845853</v>
      </c>
      <c r="F242" s="15" t="n">
        <f aca="false">C242/D242</f>
        <v>34.1603754229921</v>
      </c>
      <c r="G242" s="13" t="n">
        <f aca="false">B242-C242</f>
        <v>-29622.531359267</v>
      </c>
      <c r="H242" s="16" t="n">
        <f aca="false">G242/B242</f>
        <v>-0.10783112513232</v>
      </c>
      <c r="I242" s="15" t="n">
        <f aca="false">G242/D242</f>
        <v>-3.32501193840689</v>
      </c>
      <c r="J242" s="16" t="n">
        <f aca="false">I242/E242</f>
        <v>-0.10783112513232</v>
      </c>
      <c r="K242" s="17" t="str">
        <f aca="false">TEXT(A242,"dddd")</f>
        <v>Wednesday</v>
      </c>
      <c r="L242" s="17" t="str">
        <f aca="false">IF(AND(A242&gt;=DATE(2014,9,24),A242&lt;=DATE(2014,10,6)),"Promo 1",IF(AND(A242&gt;=DATE(2014,9,10),A242&lt;=DATE(2014,9,23)),"Baseline 1",IF(AND(A242&gt;=DATE(2015,9,23),A242&lt;=DATE(2015,10,6)),"Promo 2",IF(AND(A242&gt;=DATE(2015,9,9),A242&lt;=DATE(2015,9,22)),"Baseline 2",IF(AND(A242&gt;=DATE(2016,6,23),A242&lt;=DATE(2016,7,6)),"Promo 3",IF(AND(A242&gt;=DATE(2016,6,9),A242&lt;=DATE(2016,6,22)),"Baseline 3","Other"))))))</f>
        <v>Other</v>
      </c>
    </row>
    <row r="243" customFormat="false" ht="15" hidden="false" customHeight="true" outlineLevel="0" collapsed="false">
      <c r="A243" s="12" t="n">
        <v>41879</v>
      </c>
      <c r="B243" s="13" t="n">
        <v>258066.169394985</v>
      </c>
      <c r="C243" s="13" t="n">
        <v>287168.566089825</v>
      </c>
      <c r="D243" s="14" t="n">
        <v>8400</v>
      </c>
      <c r="E243" s="15" t="n">
        <f aca="false">B243/D243</f>
        <v>30.7221630232125</v>
      </c>
      <c r="F243" s="15" t="n">
        <f aca="false">C243/D243</f>
        <v>34.1867340583125</v>
      </c>
      <c r="G243" s="13" t="n">
        <f aca="false">B243-C243</f>
        <v>-29102.39669484</v>
      </c>
      <c r="H243" s="16" t="n">
        <f aca="false">G243/B243</f>
        <v>-0.112771064735328</v>
      </c>
      <c r="I243" s="15" t="n">
        <f aca="false">G243/D243</f>
        <v>-3.4645710351</v>
      </c>
      <c r="J243" s="16" t="n">
        <f aca="false">I243/E243</f>
        <v>-0.112771064735328</v>
      </c>
      <c r="K243" s="17" t="str">
        <f aca="false">TEXT(A243,"dddd")</f>
        <v>Thursday</v>
      </c>
      <c r="L243" s="17" t="str">
        <f aca="false">IF(AND(A243&gt;=DATE(2014,9,24),A243&lt;=DATE(2014,10,6)),"Promo 1",IF(AND(A243&gt;=DATE(2014,9,10),A243&lt;=DATE(2014,9,23)),"Baseline 1",IF(AND(A243&gt;=DATE(2015,9,23),A243&lt;=DATE(2015,10,6)),"Promo 2",IF(AND(A243&gt;=DATE(2015,9,9),A243&lt;=DATE(2015,9,22)),"Baseline 2",IF(AND(A243&gt;=DATE(2016,6,23),A243&lt;=DATE(2016,7,6)),"Promo 3",IF(AND(A243&gt;=DATE(2016,6,9),A243&lt;=DATE(2016,6,22)),"Baseline 3","Other"))))))</f>
        <v>Other</v>
      </c>
    </row>
    <row r="244" customFormat="false" ht="15" hidden="false" customHeight="true" outlineLevel="0" collapsed="false">
      <c r="A244" s="12" t="n">
        <v>41880</v>
      </c>
      <c r="B244" s="13" t="n">
        <v>594007.213203712</v>
      </c>
      <c r="C244" s="13" t="n">
        <v>660937.804805604</v>
      </c>
      <c r="D244" s="14" t="n">
        <v>19317</v>
      </c>
      <c r="E244" s="15" t="n">
        <f aca="false">B244/D244</f>
        <v>30.7504898899266</v>
      </c>
      <c r="F244" s="15" t="n">
        <f aca="false">C244/D244</f>
        <v>34.215344246291</v>
      </c>
      <c r="G244" s="13" t="n">
        <f aca="false">B244-C244</f>
        <v>-66930.591601892</v>
      </c>
      <c r="H244" s="16" t="n">
        <f aca="false">G244/B244</f>
        <v>-0.112676395360436</v>
      </c>
      <c r="I244" s="15" t="n">
        <f aca="false">G244/D244</f>
        <v>-3.46485435636445</v>
      </c>
      <c r="J244" s="16" t="n">
        <f aca="false">I244/E244</f>
        <v>-0.112676395360436</v>
      </c>
      <c r="K244" s="17" t="str">
        <f aca="false">TEXT(A244,"dddd")</f>
        <v>Friday</v>
      </c>
      <c r="L244" s="17" t="str">
        <f aca="false">IF(AND(A244&gt;=DATE(2014,9,24),A244&lt;=DATE(2014,10,6)),"Promo 1",IF(AND(A244&gt;=DATE(2014,9,10),A244&lt;=DATE(2014,9,23)),"Baseline 1",IF(AND(A244&gt;=DATE(2015,9,23),A244&lt;=DATE(2015,10,6)),"Promo 2",IF(AND(A244&gt;=DATE(2015,9,9),A244&lt;=DATE(2015,9,22)),"Baseline 2",IF(AND(A244&gt;=DATE(2016,6,23),A244&lt;=DATE(2016,7,6)),"Promo 3",IF(AND(A244&gt;=DATE(2016,6,9),A244&lt;=DATE(2016,6,22)),"Baseline 3","Other"))))))</f>
        <v>Other</v>
      </c>
    </row>
    <row r="245" customFormat="false" ht="15" hidden="false" customHeight="true" outlineLevel="0" collapsed="false">
      <c r="A245" s="12" t="n">
        <v>41881</v>
      </c>
      <c r="B245" s="13" t="n">
        <v>717096.712818359</v>
      </c>
      <c r="C245" s="13" t="n">
        <v>797788.891976238</v>
      </c>
      <c r="D245" s="14" t="n">
        <v>23310</v>
      </c>
      <c r="E245" s="15" t="n">
        <f aca="false">B245/D245</f>
        <v>30.7634797433873</v>
      </c>
      <c r="F245" s="15" t="n">
        <f aca="false">C245/D245</f>
        <v>34.2251776909583</v>
      </c>
      <c r="G245" s="13" t="n">
        <f aca="false">B245-C245</f>
        <v>-80692.179157879</v>
      </c>
      <c r="H245" s="16" t="n">
        <f aca="false">G245/B245</f>
        <v>-0.11252621538417</v>
      </c>
      <c r="I245" s="15" t="n">
        <f aca="false">G245/D245</f>
        <v>-3.46169794757096</v>
      </c>
      <c r="J245" s="16" t="n">
        <f aca="false">I245/E245</f>
        <v>-0.11252621538417</v>
      </c>
      <c r="K245" s="17" t="str">
        <f aca="false">TEXT(A245,"dddd")</f>
        <v>Saturday</v>
      </c>
      <c r="L245" s="17" t="str">
        <f aca="false">IF(AND(A245&gt;=DATE(2014,9,24),A245&lt;=DATE(2014,10,6)),"Promo 1",IF(AND(A245&gt;=DATE(2014,9,10),A245&lt;=DATE(2014,9,23)),"Baseline 1",IF(AND(A245&gt;=DATE(2015,9,23),A245&lt;=DATE(2015,10,6)),"Promo 2",IF(AND(A245&gt;=DATE(2015,9,9),A245&lt;=DATE(2015,9,22)),"Baseline 2",IF(AND(A245&gt;=DATE(2016,6,23),A245&lt;=DATE(2016,7,6)),"Promo 3",IF(AND(A245&gt;=DATE(2016,6,9),A245&lt;=DATE(2016,6,22)),"Baseline 3","Other"))))))</f>
        <v>Other</v>
      </c>
    </row>
    <row r="246" customFormat="false" ht="15" hidden="false" customHeight="true" outlineLevel="0" collapsed="false">
      <c r="A246" s="12" t="n">
        <v>41882</v>
      </c>
      <c r="B246" s="13" t="n">
        <v>358170.996328817</v>
      </c>
      <c r="C246" s="13" t="n">
        <v>398562.607430159</v>
      </c>
      <c r="D246" s="14" t="n">
        <v>11646</v>
      </c>
      <c r="E246" s="15" t="n">
        <f aca="false">B246/D246</f>
        <v>30.7548511359108</v>
      </c>
      <c r="F246" s="15" t="n">
        <f aca="false">C246/D246</f>
        <v>34.2231330439772</v>
      </c>
      <c r="G246" s="13" t="n">
        <f aca="false">B246-C246</f>
        <v>-40391.611101342</v>
      </c>
      <c r="H246" s="16" t="n">
        <f aca="false">G246/B246</f>
        <v>-0.112771864599167</v>
      </c>
      <c r="I246" s="15" t="n">
        <f aca="false">G246/D246</f>
        <v>-3.46828190806646</v>
      </c>
      <c r="J246" s="16" t="n">
        <f aca="false">I246/E246</f>
        <v>-0.112771864599167</v>
      </c>
      <c r="K246" s="17" t="str">
        <f aca="false">TEXT(A246,"dddd")</f>
        <v>Sunday</v>
      </c>
      <c r="L246" s="17" t="str">
        <f aca="false">IF(AND(A246&gt;=DATE(2014,9,24),A246&lt;=DATE(2014,10,6)),"Promo 1",IF(AND(A246&gt;=DATE(2014,9,10),A246&lt;=DATE(2014,9,23)),"Baseline 1",IF(AND(A246&gt;=DATE(2015,9,23),A246&lt;=DATE(2015,10,6)),"Promo 2",IF(AND(A246&gt;=DATE(2015,9,9),A246&lt;=DATE(2015,9,22)),"Baseline 2",IF(AND(A246&gt;=DATE(2016,6,23),A246&lt;=DATE(2016,7,6)),"Promo 3",IF(AND(A246&gt;=DATE(2016,6,9),A246&lt;=DATE(2016,6,22)),"Baseline 3","Other"))))))</f>
        <v>Other</v>
      </c>
    </row>
    <row r="247" customFormat="false" ht="15" hidden="false" customHeight="true" outlineLevel="0" collapsed="false">
      <c r="A247" s="12" t="n">
        <v>41883</v>
      </c>
      <c r="B247" s="13" t="n">
        <v>594953.634906439</v>
      </c>
      <c r="C247" s="13" t="n">
        <v>662850.990761084</v>
      </c>
      <c r="D247" s="14" t="n">
        <v>19366</v>
      </c>
      <c r="E247" s="15" t="n">
        <f aca="false">B247/D247</f>
        <v>30.7215550400929</v>
      </c>
      <c r="F247" s="15" t="n">
        <f aca="false">C247/D247</f>
        <v>34.2275632944895</v>
      </c>
      <c r="G247" s="13" t="n">
        <f aca="false">B247-C247</f>
        <v>-67897.355854645</v>
      </c>
      <c r="H247" s="16" t="n">
        <f aca="false">G247/B247</f>
        <v>-0.114122096027403</v>
      </c>
      <c r="I247" s="15" t="n">
        <f aca="false">G247/D247</f>
        <v>-3.50600825439662</v>
      </c>
      <c r="J247" s="16" t="n">
        <f aca="false">I247/E247</f>
        <v>-0.114122096027403</v>
      </c>
      <c r="K247" s="17" t="str">
        <f aca="false">TEXT(A247,"dddd")</f>
        <v>Monday</v>
      </c>
      <c r="L247" s="17" t="str">
        <f aca="false">IF(AND(A247&gt;=DATE(2014,9,24),A247&lt;=DATE(2014,10,6)),"Promo 1",IF(AND(A247&gt;=DATE(2014,9,10),A247&lt;=DATE(2014,9,23)),"Baseline 1",IF(AND(A247&gt;=DATE(2015,9,23),A247&lt;=DATE(2015,10,6)),"Promo 2",IF(AND(A247&gt;=DATE(2015,9,9),A247&lt;=DATE(2015,9,22)),"Baseline 2",IF(AND(A247&gt;=DATE(2016,6,23),A247&lt;=DATE(2016,7,6)),"Promo 3",IF(AND(A247&gt;=DATE(2016,6,9),A247&lt;=DATE(2016,6,22)),"Baseline 3","Other"))))))</f>
        <v>Other</v>
      </c>
    </row>
    <row r="248" customFormat="false" ht="15" hidden="false" customHeight="true" outlineLevel="0" collapsed="false">
      <c r="A248" s="12" t="n">
        <v>41884</v>
      </c>
      <c r="B248" s="13" t="n">
        <v>469469.941025128</v>
      </c>
      <c r="C248" s="13" t="n">
        <v>523480.303345642</v>
      </c>
      <c r="D248" s="14" t="n">
        <v>15291</v>
      </c>
      <c r="E248" s="15" t="n">
        <f aca="false">B248/D248</f>
        <v>30.7023700886226</v>
      </c>
      <c r="F248" s="15" t="n">
        <f aca="false">C248/D248</f>
        <v>34.2345368743471</v>
      </c>
      <c r="G248" s="13" t="n">
        <f aca="false">B248-C248</f>
        <v>-54010.362320514</v>
      </c>
      <c r="H248" s="16" t="n">
        <f aca="false">G248/B248</f>
        <v>-0.115045411006672</v>
      </c>
      <c r="I248" s="15" t="n">
        <f aca="false">G248/D248</f>
        <v>-3.53216678572454</v>
      </c>
      <c r="J248" s="16" t="n">
        <f aca="false">I248/E248</f>
        <v>-0.115045411006672</v>
      </c>
      <c r="K248" s="17" t="str">
        <f aca="false">TEXT(A248,"dddd")</f>
        <v>Tuesday</v>
      </c>
      <c r="L248" s="17" t="str">
        <f aca="false">IF(AND(A248&gt;=DATE(2014,9,24),A248&lt;=DATE(2014,10,6)),"Promo 1",IF(AND(A248&gt;=DATE(2014,9,10),A248&lt;=DATE(2014,9,23)),"Baseline 1",IF(AND(A248&gt;=DATE(2015,9,23),A248&lt;=DATE(2015,10,6)),"Promo 2",IF(AND(A248&gt;=DATE(2015,9,9),A248&lt;=DATE(2015,9,22)),"Baseline 2",IF(AND(A248&gt;=DATE(2016,6,23),A248&lt;=DATE(2016,7,6)),"Promo 3",IF(AND(A248&gt;=DATE(2016,6,9),A248&lt;=DATE(2016,6,22)),"Baseline 3","Other"))))))</f>
        <v>Other</v>
      </c>
    </row>
    <row r="249" customFormat="false" ht="15" hidden="false" customHeight="true" outlineLevel="0" collapsed="false">
      <c r="A249" s="12" t="n">
        <v>41885</v>
      </c>
      <c r="B249" s="13" t="n">
        <v>464067.799340213</v>
      </c>
      <c r="C249" s="13" t="n">
        <v>517180.543295555</v>
      </c>
      <c r="D249" s="14" t="n">
        <v>15100</v>
      </c>
      <c r="E249" s="15" t="n">
        <f aca="false">B249/D249</f>
        <v>30.7329668437227</v>
      </c>
      <c r="F249" s="15" t="n">
        <f aca="false">C249/D249</f>
        <v>34.2503671056659</v>
      </c>
      <c r="G249" s="13" t="n">
        <f aca="false">B249-C249</f>
        <v>-53112.743955342</v>
      </c>
      <c r="H249" s="16" t="n">
        <f aca="false">G249/B249</f>
        <v>-0.114450397185185</v>
      </c>
      <c r="I249" s="15" t="n">
        <f aca="false">G249/D249</f>
        <v>-3.51740026194318</v>
      </c>
      <c r="J249" s="16" t="n">
        <f aca="false">I249/E249</f>
        <v>-0.114450397185185</v>
      </c>
      <c r="K249" s="17" t="str">
        <f aca="false">TEXT(A249,"dddd")</f>
        <v>Wednesday</v>
      </c>
      <c r="L249" s="17" t="str">
        <f aca="false">IF(AND(A249&gt;=DATE(2014,9,24),A249&lt;=DATE(2014,10,6)),"Promo 1",IF(AND(A249&gt;=DATE(2014,9,10),A249&lt;=DATE(2014,9,23)),"Baseline 1",IF(AND(A249&gt;=DATE(2015,9,23),A249&lt;=DATE(2015,10,6)),"Promo 2",IF(AND(A249&gt;=DATE(2015,9,9),A249&lt;=DATE(2015,9,22)),"Baseline 2",IF(AND(A249&gt;=DATE(2016,6,23),A249&lt;=DATE(2016,7,6)),"Promo 3",IF(AND(A249&gt;=DATE(2016,6,9),A249&lt;=DATE(2016,6,22)),"Baseline 3","Other"))))))</f>
        <v>Other</v>
      </c>
    </row>
    <row r="250" customFormat="false" ht="15" hidden="false" customHeight="true" outlineLevel="0" collapsed="false">
      <c r="A250" s="12" t="n">
        <v>41886</v>
      </c>
      <c r="B250" s="13" t="n">
        <v>312311.953981191</v>
      </c>
      <c r="C250" s="13" t="n">
        <v>348177.120545782</v>
      </c>
      <c r="D250" s="14" t="n">
        <v>10164</v>
      </c>
      <c r="E250" s="15" t="n">
        <f aca="false">B250/D250</f>
        <v>30.7272681996449</v>
      </c>
      <c r="F250" s="15" t="n">
        <f aca="false">C250/D250</f>
        <v>34.2559150477944</v>
      </c>
      <c r="G250" s="13" t="n">
        <f aca="false">B250-C250</f>
        <v>-35865.166564591</v>
      </c>
      <c r="H250" s="16" t="n">
        <f aca="false">G250/B250</f>
        <v>-0.114837636239665</v>
      </c>
      <c r="I250" s="15" t="n">
        <f aca="false">G250/D250</f>
        <v>-3.52864684814945</v>
      </c>
      <c r="J250" s="16" t="n">
        <f aca="false">I250/E250</f>
        <v>-0.114837636239665</v>
      </c>
      <c r="K250" s="17" t="str">
        <f aca="false">TEXT(A250,"dddd")</f>
        <v>Thursday</v>
      </c>
      <c r="L250" s="17" t="str">
        <f aca="false">IF(AND(A250&gt;=DATE(2014,9,24),A250&lt;=DATE(2014,10,6)),"Promo 1",IF(AND(A250&gt;=DATE(2014,9,10),A250&lt;=DATE(2014,9,23)),"Baseline 1",IF(AND(A250&gt;=DATE(2015,9,23),A250&lt;=DATE(2015,10,6)),"Promo 2",IF(AND(A250&gt;=DATE(2015,9,9),A250&lt;=DATE(2015,9,22)),"Baseline 2",IF(AND(A250&gt;=DATE(2016,6,23),A250&lt;=DATE(2016,7,6)),"Promo 3",IF(AND(A250&gt;=DATE(2016,6,9),A250&lt;=DATE(2016,6,22)),"Baseline 3","Other"))))))</f>
        <v>Other</v>
      </c>
    </row>
    <row r="251" customFormat="false" ht="15" hidden="false" customHeight="true" outlineLevel="0" collapsed="false">
      <c r="A251" s="12" t="n">
        <v>41887</v>
      </c>
      <c r="B251" s="13" t="n">
        <v>501279.000444481</v>
      </c>
      <c r="C251" s="13" t="n">
        <v>558766.690346946</v>
      </c>
      <c r="D251" s="14" t="n">
        <v>16310</v>
      </c>
      <c r="E251" s="15" t="n">
        <f aca="false">B251/D251</f>
        <v>30.7344574153575</v>
      </c>
      <c r="F251" s="15" t="n">
        <f aca="false">C251/D251</f>
        <v>34.2591471702603</v>
      </c>
      <c r="G251" s="13" t="n">
        <f aca="false">B251-C251</f>
        <v>-57487.689902465</v>
      </c>
      <c r="H251" s="16" t="n">
        <f aca="false">G251/B251</f>
        <v>-0.114682023087923</v>
      </c>
      <c r="I251" s="15" t="n">
        <f aca="false">G251/D251</f>
        <v>-3.52468975490282</v>
      </c>
      <c r="J251" s="16" t="n">
        <f aca="false">I251/E251</f>
        <v>-0.114682023087923</v>
      </c>
      <c r="K251" s="17" t="str">
        <f aca="false">TEXT(A251,"dddd")</f>
        <v>Friday</v>
      </c>
      <c r="L251" s="17" t="str">
        <f aca="false">IF(AND(A251&gt;=DATE(2014,9,24),A251&lt;=DATE(2014,10,6)),"Promo 1",IF(AND(A251&gt;=DATE(2014,9,10),A251&lt;=DATE(2014,9,23)),"Baseline 1",IF(AND(A251&gt;=DATE(2015,9,23),A251&lt;=DATE(2015,10,6)),"Promo 2",IF(AND(A251&gt;=DATE(2015,9,9),A251&lt;=DATE(2015,9,22)),"Baseline 2",IF(AND(A251&gt;=DATE(2016,6,23),A251&lt;=DATE(2016,7,6)),"Promo 3",IF(AND(A251&gt;=DATE(2016,6,9),A251&lt;=DATE(2016,6,22)),"Baseline 3","Other"))))))</f>
        <v>Other</v>
      </c>
    </row>
    <row r="252" customFormat="false" ht="15" hidden="false" customHeight="true" outlineLevel="0" collapsed="false">
      <c r="A252" s="12" t="n">
        <v>41888</v>
      </c>
      <c r="B252" s="13" t="n">
        <v>552703.903758153</v>
      </c>
      <c r="C252" s="13" t="n">
        <v>616169.851431137</v>
      </c>
      <c r="D252" s="14" t="n">
        <v>17985</v>
      </c>
      <c r="E252" s="15" t="n">
        <f aca="false">B252/D252</f>
        <v>30.7313819159384</v>
      </c>
      <c r="F252" s="15" t="n">
        <f aca="false">C252/D252</f>
        <v>34.2602085866632</v>
      </c>
      <c r="G252" s="13" t="n">
        <f aca="false">B252-C252</f>
        <v>-63465.947672984</v>
      </c>
      <c r="H252" s="16" t="n">
        <f aca="false">G252/B252</f>
        <v>-0.114828115454663</v>
      </c>
      <c r="I252" s="15" t="n">
        <f aca="false">G252/D252</f>
        <v>-3.52882667072471</v>
      </c>
      <c r="J252" s="16" t="n">
        <f aca="false">I252/E252</f>
        <v>-0.114828115454663</v>
      </c>
      <c r="K252" s="17" t="str">
        <f aca="false">TEXT(A252,"dddd")</f>
        <v>Saturday</v>
      </c>
      <c r="L252" s="17" t="str">
        <f aca="false">IF(AND(A252&gt;=DATE(2014,9,24),A252&lt;=DATE(2014,10,6)),"Promo 1",IF(AND(A252&gt;=DATE(2014,9,10),A252&lt;=DATE(2014,9,23)),"Baseline 1",IF(AND(A252&gt;=DATE(2015,9,23),A252&lt;=DATE(2015,10,6)),"Promo 2",IF(AND(A252&gt;=DATE(2015,9,9),A252&lt;=DATE(2015,9,22)),"Baseline 2",IF(AND(A252&gt;=DATE(2016,6,23),A252&lt;=DATE(2016,7,6)),"Promo 3",IF(AND(A252&gt;=DATE(2016,6,9),A252&lt;=DATE(2016,6,22)),"Baseline 3","Other"))))))</f>
        <v>Other</v>
      </c>
    </row>
    <row r="253" customFormat="false" ht="15" hidden="false" customHeight="true" outlineLevel="0" collapsed="false">
      <c r="A253" s="12" t="n">
        <v>41889</v>
      </c>
      <c r="B253" s="13" t="n">
        <v>234153.762210716</v>
      </c>
      <c r="C253" s="13" t="n">
        <v>261088.386372968</v>
      </c>
      <c r="D253" s="14" t="n">
        <v>7620</v>
      </c>
      <c r="E253" s="15" t="n">
        <f aca="false">B253/D253</f>
        <v>30.7288401851333</v>
      </c>
      <c r="F253" s="15" t="n">
        <f aca="false">C253/D253</f>
        <v>34.2635677654814</v>
      </c>
      <c r="G253" s="13" t="n">
        <f aca="false">B253-C253</f>
        <v>-26934.624162252</v>
      </c>
      <c r="H253" s="16" t="n">
        <f aca="false">G253/B253</f>
        <v>-0.115029645084299</v>
      </c>
      <c r="I253" s="15" t="n">
        <f aca="false">G253/D253</f>
        <v>-3.53472758034803</v>
      </c>
      <c r="J253" s="16" t="n">
        <f aca="false">I253/E253</f>
        <v>-0.115029645084299</v>
      </c>
      <c r="K253" s="17" t="str">
        <f aca="false">TEXT(A253,"dddd")</f>
        <v>Sunday</v>
      </c>
      <c r="L253" s="17" t="str">
        <f aca="false">IF(AND(A253&gt;=DATE(2014,9,24),A253&lt;=DATE(2014,10,6)),"Promo 1",IF(AND(A253&gt;=DATE(2014,9,10),A253&lt;=DATE(2014,9,23)),"Baseline 1",IF(AND(A253&gt;=DATE(2015,9,23),A253&lt;=DATE(2015,10,6)),"Promo 2",IF(AND(A253&gt;=DATE(2015,9,9),A253&lt;=DATE(2015,9,22)),"Baseline 2",IF(AND(A253&gt;=DATE(2016,6,23),A253&lt;=DATE(2016,7,6)),"Promo 3",IF(AND(A253&gt;=DATE(2016,6,9),A253&lt;=DATE(2016,6,22)),"Baseline 3","Other"))))))</f>
        <v>Other</v>
      </c>
    </row>
    <row r="254" customFormat="false" ht="15" hidden="false" customHeight="true" outlineLevel="0" collapsed="false">
      <c r="A254" s="12" t="n">
        <v>41890</v>
      </c>
      <c r="B254" s="13" t="n">
        <v>244481.497729306</v>
      </c>
      <c r="C254" s="13" t="n">
        <v>272633.399802758</v>
      </c>
      <c r="D254" s="14" t="n">
        <v>7958</v>
      </c>
      <c r="E254" s="15" t="n">
        <f aca="false">B254/D254</f>
        <v>30.7214749597017</v>
      </c>
      <c r="F254" s="15" t="n">
        <f aca="false">C254/D254</f>
        <v>34.259034908615</v>
      </c>
      <c r="G254" s="13" t="n">
        <f aca="false">B254-C254</f>
        <v>-28151.902073452</v>
      </c>
      <c r="H254" s="16" t="n">
        <f aca="false">G254/B254</f>
        <v>-0.115149417583421</v>
      </c>
      <c r="I254" s="15" t="n">
        <f aca="false">G254/D254</f>
        <v>-3.5375599489133</v>
      </c>
      <c r="J254" s="16" t="n">
        <f aca="false">I254/E254</f>
        <v>-0.115149417583421</v>
      </c>
      <c r="K254" s="17" t="str">
        <f aca="false">TEXT(A254,"dddd")</f>
        <v>Monday</v>
      </c>
      <c r="L254" s="17" t="str">
        <f aca="false">IF(AND(A254&gt;=DATE(2014,9,24),A254&lt;=DATE(2014,10,6)),"Promo 1",IF(AND(A254&gt;=DATE(2014,9,10),A254&lt;=DATE(2014,9,23)),"Baseline 1",IF(AND(A254&gt;=DATE(2015,9,23),A254&lt;=DATE(2015,10,6)),"Promo 2",IF(AND(A254&gt;=DATE(2015,9,9),A254&lt;=DATE(2015,9,22)),"Baseline 2",IF(AND(A254&gt;=DATE(2016,6,23),A254&lt;=DATE(2016,7,6)),"Promo 3",IF(AND(A254&gt;=DATE(2016,6,9),A254&lt;=DATE(2016,6,22)),"Baseline 3","Other"))))))</f>
        <v>Other</v>
      </c>
    </row>
    <row r="255" customFormat="false" ht="15" hidden="false" customHeight="true" outlineLevel="0" collapsed="false">
      <c r="A255" s="12" t="n">
        <v>41891</v>
      </c>
      <c r="B255" s="13" t="n">
        <v>122749.635278309</v>
      </c>
      <c r="C255" s="13" t="n">
        <v>120070.950188597</v>
      </c>
      <c r="D255" s="14" t="n">
        <v>3503</v>
      </c>
      <c r="E255" s="15" t="n">
        <f aca="false">B255/D255</f>
        <v>35.0412889746814</v>
      </c>
      <c r="F255" s="15" t="n">
        <f aca="false">C255/D255</f>
        <v>34.2766058203246</v>
      </c>
      <c r="G255" s="13" t="n">
        <f aca="false">B255-C255</f>
        <v>2678.685089712</v>
      </c>
      <c r="H255" s="16" t="n">
        <f aca="false">G255/B255</f>
        <v>0.0218223466296959</v>
      </c>
      <c r="I255" s="15" t="n">
        <f aca="false">G255/D255</f>
        <v>0.764683154356838</v>
      </c>
      <c r="J255" s="16" t="n">
        <f aca="false">I255/E255</f>
        <v>0.0218223466296959</v>
      </c>
      <c r="K255" s="17" t="str">
        <f aca="false">TEXT(A255,"dddd")</f>
        <v>Tuesday</v>
      </c>
      <c r="L255" s="17" t="str">
        <f aca="false">IF(AND(A255&gt;=DATE(2014,9,24),A255&lt;=DATE(2014,10,6)),"Promo 1",IF(AND(A255&gt;=DATE(2014,9,10),A255&lt;=DATE(2014,9,23)),"Baseline 1",IF(AND(A255&gt;=DATE(2015,9,23),A255&lt;=DATE(2015,10,6)),"Promo 2",IF(AND(A255&gt;=DATE(2015,9,9),A255&lt;=DATE(2015,9,22)),"Baseline 2",IF(AND(A255&gt;=DATE(2016,6,23),A255&lt;=DATE(2016,7,6)),"Promo 3",IF(AND(A255&gt;=DATE(2016,6,9),A255&lt;=DATE(2016,6,22)),"Baseline 3","Other"))))))</f>
        <v>Other</v>
      </c>
    </row>
    <row r="256" customFormat="false" ht="15" hidden="false" customHeight="true" outlineLevel="0" collapsed="false">
      <c r="A256" s="12" t="n">
        <v>41892</v>
      </c>
      <c r="B256" s="13" t="n">
        <v>78736.4028397212</v>
      </c>
      <c r="C256" s="13" t="n">
        <v>77071.5427061101</v>
      </c>
      <c r="D256" s="14" t="n">
        <v>2247</v>
      </c>
      <c r="E256" s="15" t="n">
        <f aca="false">B256/D256</f>
        <v>35.0406777212822</v>
      </c>
      <c r="F256" s="15" t="n">
        <f aca="false">C256/D256</f>
        <v>34.2997519831376</v>
      </c>
      <c r="G256" s="13" t="n">
        <f aca="false">B256-C256</f>
        <v>1664.86013361109</v>
      </c>
      <c r="H256" s="16" t="n">
        <f aca="false">G256/B256</f>
        <v>0.0211447319608967</v>
      </c>
      <c r="I256" s="15" t="n">
        <f aca="false">G256/D256</f>
        <v>0.740925738144676</v>
      </c>
      <c r="J256" s="16" t="n">
        <f aca="false">I256/E256</f>
        <v>0.0211447319608967</v>
      </c>
      <c r="K256" s="17" t="str">
        <f aca="false">TEXT(A256,"dddd")</f>
        <v>Wednesday</v>
      </c>
      <c r="L256" s="17" t="str">
        <f aca="false">IF(AND(A256&gt;=DATE(2014,9,24),A256&lt;=DATE(2014,10,6)),"Promo 1",IF(AND(A256&gt;=DATE(2014,9,10),A256&lt;=DATE(2014,9,23)),"Baseline 1",IF(AND(A256&gt;=DATE(2015,9,23),A256&lt;=DATE(2015,10,6)),"Promo 2",IF(AND(A256&gt;=DATE(2015,9,9),A256&lt;=DATE(2015,9,22)),"Baseline 2",IF(AND(A256&gt;=DATE(2016,6,23),A256&lt;=DATE(2016,7,6)),"Promo 3",IF(AND(A256&gt;=DATE(2016,6,9),A256&lt;=DATE(2016,6,22)),"Baseline 3","Other"))))))</f>
        <v>Baseline 1</v>
      </c>
    </row>
    <row r="257" customFormat="false" ht="15" hidden="false" customHeight="true" outlineLevel="0" collapsed="false">
      <c r="A257" s="12" t="n">
        <v>41893</v>
      </c>
      <c r="B257" s="13" t="n">
        <v>70875.1106687411</v>
      </c>
      <c r="C257" s="13" t="n">
        <v>69489.3608468351</v>
      </c>
      <c r="D257" s="14" t="n">
        <v>2023</v>
      </c>
      <c r="E257" s="15" t="n">
        <f aca="false">B257/D257</f>
        <v>35.0346567813846</v>
      </c>
      <c r="F257" s="15" t="n">
        <f aca="false">C257/D257</f>
        <v>34.3496593409961</v>
      </c>
      <c r="G257" s="13" t="n">
        <f aca="false">B257-C257</f>
        <v>1385.74982190599</v>
      </c>
      <c r="H257" s="16" t="n">
        <f aca="false">G257/B257</f>
        <v>0.0195519951761736</v>
      </c>
      <c r="I257" s="15" t="n">
        <f aca="false">G257/D257</f>
        <v>0.684997440388528</v>
      </c>
      <c r="J257" s="16" t="n">
        <f aca="false">I257/E257</f>
        <v>0.0195519951761736</v>
      </c>
      <c r="K257" s="17" t="str">
        <f aca="false">TEXT(A257,"dddd")</f>
        <v>Thursday</v>
      </c>
      <c r="L257" s="17" t="str">
        <f aca="false">IF(AND(A257&gt;=DATE(2014,9,24),A257&lt;=DATE(2014,10,6)),"Promo 1",IF(AND(A257&gt;=DATE(2014,9,10),A257&lt;=DATE(2014,9,23)),"Baseline 1",IF(AND(A257&gt;=DATE(2015,9,23),A257&lt;=DATE(2015,10,6)),"Promo 2",IF(AND(A257&gt;=DATE(2015,9,9),A257&lt;=DATE(2015,9,22)),"Baseline 2",IF(AND(A257&gt;=DATE(2016,6,23),A257&lt;=DATE(2016,7,6)),"Promo 3",IF(AND(A257&gt;=DATE(2016,6,9),A257&lt;=DATE(2016,6,22)),"Baseline 3","Other"))))))</f>
        <v>Baseline 1</v>
      </c>
    </row>
    <row r="258" customFormat="false" ht="15" hidden="false" customHeight="true" outlineLevel="0" collapsed="false">
      <c r="A258" s="12" t="n">
        <v>41894</v>
      </c>
      <c r="B258" s="13" t="n">
        <v>148634.391406875</v>
      </c>
      <c r="C258" s="13" t="n">
        <v>145956.139695921</v>
      </c>
      <c r="D258" s="14" t="n">
        <v>4242</v>
      </c>
      <c r="E258" s="15" t="n">
        <f aca="false">B258/D258</f>
        <v>35.0387532783769</v>
      </c>
      <c r="F258" s="15" t="n">
        <f aca="false">C258/D258</f>
        <v>34.4073879528338</v>
      </c>
      <c r="G258" s="13" t="n">
        <f aca="false">B258-C258</f>
        <v>2678.25171095398</v>
      </c>
      <c r="H258" s="16" t="n">
        <f aca="false">G258/B258</f>
        <v>0.0180190579421318</v>
      </c>
      <c r="I258" s="15" t="n">
        <f aca="false">G258/D258</f>
        <v>0.631365325543135</v>
      </c>
      <c r="J258" s="16" t="n">
        <f aca="false">I258/E258</f>
        <v>0.0180190579421318</v>
      </c>
      <c r="K258" s="17" t="str">
        <f aca="false">TEXT(A258,"dddd")</f>
        <v>Friday</v>
      </c>
      <c r="L258" s="17" t="str">
        <f aca="false">IF(AND(A258&gt;=DATE(2014,9,24),A258&lt;=DATE(2014,10,6)),"Promo 1",IF(AND(A258&gt;=DATE(2014,9,10),A258&lt;=DATE(2014,9,23)),"Baseline 1",IF(AND(A258&gt;=DATE(2015,9,23),A258&lt;=DATE(2015,10,6)),"Promo 2",IF(AND(A258&gt;=DATE(2015,9,9),A258&lt;=DATE(2015,9,22)),"Baseline 2",IF(AND(A258&gt;=DATE(2016,6,23),A258&lt;=DATE(2016,7,6)),"Promo 3",IF(AND(A258&gt;=DATE(2016,6,9),A258&lt;=DATE(2016,6,22)),"Baseline 3","Other"))))))</f>
        <v>Baseline 1</v>
      </c>
    </row>
    <row r="259" customFormat="false" ht="15" hidden="false" customHeight="true" outlineLevel="0" collapsed="false">
      <c r="A259" s="12" t="n">
        <v>41895</v>
      </c>
      <c r="B259" s="13" t="n">
        <v>171724.828781934</v>
      </c>
      <c r="C259" s="13" t="n">
        <v>168652.203571442</v>
      </c>
      <c r="D259" s="14" t="n">
        <v>4901</v>
      </c>
      <c r="E259" s="15" t="n">
        <f aca="false">B259/D259</f>
        <v>35.0387326631165</v>
      </c>
      <c r="F259" s="15" t="n">
        <f aca="false">C259/D259</f>
        <v>34.4117942402453</v>
      </c>
      <c r="G259" s="13" t="n">
        <f aca="false">B259-C259</f>
        <v>3072.625210492</v>
      </c>
      <c r="H259" s="16" t="n">
        <f aca="false">G259/B259</f>
        <v>0.0178927254275722</v>
      </c>
      <c r="I259" s="15" t="n">
        <f aca="false">G259/D259</f>
        <v>0.626938422871251</v>
      </c>
      <c r="J259" s="16" t="n">
        <f aca="false">I259/E259</f>
        <v>0.0178927254275722</v>
      </c>
      <c r="K259" s="17" t="str">
        <f aca="false">TEXT(A259,"dddd")</f>
        <v>Saturday</v>
      </c>
      <c r="L259" s="17" t="str">
        <f aca="false">IF(AND(A259&gt;=DATE(2014,9,24),A259&lt;=DATE(2014,10,6)),"Promo 1",IF(AND(A259&gt;=DATE(2014,9,10),A259&lt;=DATE(2014,9,23)),"Baseline 1",IF(AND(A259&gt;=DATE(2015,9,23),A259&lt;=DATE(2015,10,6)),"Promo 2",IF(AND(A259&gt;=DATE(2015,9,9),A259&lt;=DATE(2015,9,22)),"Baseline 2",IF(AND(A259&gt;=DATE(2016,6,23),A259&lt;=DATE(2016,7,6)),"Promo 3",IF(AND(A259&gt;=DATE(2016,6,9),A259&lt;=DATE(2016,6,22)),"Baseline 3","Other"))))))</f>
        <v>Baseline 1</v>
      </c>
    </row>
    <row r="260" customFormat="false" ht="15" hidden="false" customHeight="true" outlineLevel="0" collapsed="false">
      <c r="A260" s="12" t="n">
        <v>41896</v>
      </c>
      <c r="B260" s="13" t="n">
        <v>86435.6988349511</v>
      </c>
      <c r="C260" s="13" t="n">
        <v>84948.3745771638</v>
      </c>
      <c r="D260" s="14" t="n">
        <v>2467</v>
      </c>
      <c r="E260" s="15" t="n">
        <f aca="false">B260/D260</f>
        <v>35.0367648297329</v>
      </c>
      <c r="F260" s="15" t="n">
        <f aca="false">C260/D260</f>
        <v>34.4338770073627</v>
      </c>
      <c r="G260" s="13" t="n">
        <f aca="false">B260-C260</f>
        <v>1487.32425778729</v>
      </c>
      <c r="H260" s="16" t="n">
        <f aca="false">G260/B260</f>
        <v>0.0172072914066135</v>
      </c>
      <c r="I260" s="15" t="n">
        <f aca="false">G260/D260</f>
        <v>0.602887822370202</v>
      </c>
      <c r="J260" s="16" t="n">
        <f aca="false">I260/E260</f>
        <v>0.0172072914066135</v>
      </c>
      <c r="K260" s="17" t="str">
        <f aca="false">TEXT(A260,"dddd")</f>
        <v>Sunday</v>
      </c>
      <c r="L260" s="17" t="str">
        <f aca="false">IF(AND(A260&gt;=DATE(2014,9,24),A260&lt;=DATE(2014,10,6)),"Promo 1",IF(AND(A260&gt;=DATE(2014,9,10),A260&lt;=DATE(2014,9,23)),"Baseline 1",IF(AND(A260&gt;=DATE(2015,9,23),A260&lt;=DATE(2015,10,6)),"Promo 2",IF(AND(A260&gt;=DATE(2015,9,9),A260&lt;=DATE(2015,9,22)),"Baseline 2",IF(AND(A260&gt;=DATE(2016,6,23),A260&lt;=DATE(2016,7,6)),"Promo 3",IF(AND(A260&gt;=DATE(2016,6,9),A260&lt;=DATE(2016,6,22)),"Baseline 3","Other"))))))</f>
        <v>Baseline 1</v>
      </c>
    </row>
    <row r="261" customFormat="false" ht="15" hidden="false" customHeight="true" outlineLevel="0" collapsed="false">
      <c r="A261" s="12" t="n">
        <v>41897</v>
      </c>
      <c r="B261" s="13" t="n">
        <v>120236.18270337</v>
      </c>
      <c r="C261" s="13" t="n">
        <v>118094.043193149</v>
      </c>
      <c r="D261" s="14" t="n">
        <v>3432</v>
      </c>
      <c r="E261" s="15" t="n">
        <f aca="false">B261/D261</f>
        <v>35.0338527690472</v>
      </c>
      <c r="F261" s="15" t="n">
        <f aca="false">C261/D261</f>
        <v>34.40968624509</v>
      </c>
      <c r="G261" s="13" t="n">
        <f aca="false">B261-C261</f>
        <v>2142.13951022099</v>
      </c>
      <c r="H261" s="16" t="n">
        <f aca="false">G261/B261</f>
        <v>0.0178160971353006</v>
      </c>
      <c r="I261" s="15" t="n">
        <f aca="false">G261/D261</f>
        <v>0.624166523957166</v>
      </c>
      <c r="J261" s="16" t="n">
        <f aca="false">I261/E261</f>
        <v>0.0178160971353006</v>
      </c>
      <c r="K261" s="17" t="str">
        <f aca="false">TEXT(A261,"dddd")</f>
        <v>Monday</v>
      </c>
      <c r="L261" s="17" t="str">
        <f aca="false">IF(AND(A261&gt;=DATE(2014,9,24),A261&lt;=DATE(2014,10,6)),"Promo 1",IF(AND(A261&gt;=DATE(2014,9,10),A261&lt;=DATE(2014,9,23)),"Baseline 1",IF(AND(A261&gt;=DATE(2015,9,23),A261&lt;=DATE(2015,10,6)),"Promo 2",IF(AND(A261&gt;=DATE(2015,9,9),A261&lt;=DATE(2015,9,22)),"Baseline 2",IF(AND(A261&gt;=DATE(2016,6,23),A261&lt;=DATE(2016,7,6)),"Promo 3",IF(AND(A261&gt;=DATE(2016,6,9),A261&lt;=DATE(2016,6,22)),"Baseline 3","Other"))))))</f>
        <v>Baseline 1</v>
      </c>
    </row>
    <row r="262" customFormat="false" ht="15" hidden="false" customHeight="true" outlineLevel="0" collapsed="false">
      <c r="A262" s="12" t="n">
        <v>41898</v>
      </c>
      <c r="B262" s="13" t="n">
        <v>83204.1966941811</v>
      </c>
      <c r="C262" s="13" t="n">
        <v>81753.4245935456</v>
      </c>
      <c r="D262" s="14" t="n">
        <v>2375</v>
      </c>
      <c r="E262" s="15" t="n">
        <f aca="false">B262/D262</f>
        <v>35.0333459764973</v>
      </c>
      <c r="F262" s="15" t="n">
        <f aca="false">C262/D262</f>
        <v>34.4224945657034</v>
      </c>
      <c r="G262" s="13" t="n">
        <f aca="false">B262-C262</f>
        <v>1450.7721006355</v>
      </c>
      <c r="H262" s="16" t="n">
        <f aca="false">G262/B262</f>
        <v>0.0174362851668149</v>
      </c>
      <c r="I262" s="15" t="n">
        <f aca="false">G262/D262</f>
        <v>0.610851410793894</v>
      </c>
      <c r="J262" s="16" t="n">
        <f aca="false">I262/E262</f>
        <v>0.0174362851668149</v>
      </c>
      <c r="K262" s="17" t="str">
        <f aca="false">TEXT(A262,"dddd")</f>
        <v>Tuesday</v>
      </c>
      <c r="L262" s="17" t="str">
        <f aca="false">IF(AND(A262&gt;=DATE(2014,9,24),A262&lt;=DATE(2014,10,6)),"Promo 1",IF(AND(A262&gt;=DATE(2014,9,10),A262&lt;=DATE(2014,9,23)),"Baseline 1",IF(AND(A262&gt;=DATE(2015,9,23),A262&lt;=DATE(2015,10,6)),"Promo 2",IF(AND(A262&gt;=DATE(2015,9,9),A262&lt;=DATE(2015,9,22)),"Baseline 2",IF(AND(A262&gt;=DATE(2016,6,23),A262&lt;=DATE(2016,7,6)),"Promo 3",IF(AND(A262&gt;=DATE(2016,6,9),A262&lt;=DATE(2016,6,22)),"Baseline 3","Other"))))))</f>
        <v>Baseline 1</v>
      </c>
    </row>
    <row r="263" customFormat="false" ht="15" hidden="false" customHeight="true" outlineLevel="0" collapsed="false">
      <c r="A263" s="12" t="n">
        <v>41899</v>
      </c>
      <c r="B263" s="13" t="n">
        <v>73768.034734921</v>
      </c>
      <c r="C263" s="13" t="n">
        <v>72471.9193234045</v>
      </c>
      <c r="D263" s="14" t="n">
        <v>2105</v>
      </c>
      <c r="E263" s="15" t="n">
        <f aca="false">B263/D263</f>
        <v>35.0441970237154</v>
      </c>
      <c r="F263" s="15" t="n">
        <f aca="false">C263/D263</f>
        <v>34.4284652367717</v>
      </c>
      <c r="G263" s="13" t="n">
        <f aca="false">B263-C263</f>
        <v>1296.11541151651</v>
      </c>
      <c r="H263" s="16" t="n">
        <f aca="false">G263/B263</f>
        <v>0.0175701496749099</v>
      </c>
      <c r="I263" s="15" t="n">
        <f aca="false">G263/D263</f>
        <v>0.615731786943711</v>
      </c>
      <c r="J263" s="16" t="n">
        <f aca="false">I263/E263</f>
        <v>0.0175701496749099</v>
      </c>
      <c r="K263" s="17" t="str">
        <f aca="false">TEXT(A263,"dddd")</f>
        <v>Wednesday</v>
      </c>
      <c r="L263" s="17" t="str">
        <f aca="false">IF(AND(A263&gt;=DATE(2014,9,24),A263&lt;=DATE(2014,10,6)),"Promo 1",IF(AND(A263&gt;=DATE(2014,9,10),A263&lt;=DATE(2014,9,23)),"Baseline 1",IF(AND(A263&gt;=DATE(2015,9,23),A263&lt;=DATE(2015,10,6)),"Promo 2",IF(AND(A263&gt;=DATE(2015,9,9),A263&lt;=DATE(2015,9,22)),"Baseline 2",IF(AND(A263&gt;=DATE(2016,6,23),A263&lt;=DATE(2016,7,6)),"Promo 3",IF(AND(A263&gt;=DATE(2016,6,9),A263&lt;=DATE(2016,6,22)),"Baseline 3","Other"))))))</f>
        <v>Baseline 1</v>
      </c>
    </row>
    <row r="264" customFormat="false" ht="15" hidden="false" customHeight="true" outlineLevel="0" collapsed="false">
      <c r="A264" s="12" t="n">
        <v>41900</v>
      </c>
      <c r="B264" s="13" t="n">
        <v>69425.445115771</v>
      </c>
      <c r="C264" s="13" t="n">
        <v>68280.3832768952</v>
      </c>
      <c r="D264" s="14" t="n">
        <v>1982</v>
      </c>
      <c r="E264" s="15" t="n">
        <f aca="false">B264/D264</f>
        <v>35.0279743268269</v>
      </c>
      <c r="F264" s="15" t="n">
        <f aca="false">C264/D264</f>
        <v>34.4502438329441</v>
      </c>
      <c r="G264" s="13" t="n">
        <f aca="false">B264-C264</f>
        <v>1145.0618388758</v>
      </c>
      <c r="H264" s="16" t="n">
        <f aca="false">G264/B264</f>
        <v>0.0164934029154058</v>
      </c>
      <c r="I264" s="15" t="n">
        <f aca="false">G264/D264</f>
        <v>0.577730493882846</v>
      </c>
      <c r="J264" s="16" t="n">
        <f aca="false">I264/E264</f>
        <v>0.0164934029154058</v>
      </c>
      <c r="K264" s="17" t="str">
        <f aca="false">TEXT(A264,"dddd")</f>
        <v>Thursday</v>
      </c>
      <c r="L264" s="17" t="str">
        <f aca="false">IF(AND(A264&gt;=DATE(2014,9,24),A264&lt;=DATE(2014,10,6)),"Promo 1",IF(AND(A264&gt;=DATE(2014,9,10),A264&lt;=DATE(2014,9,23)),"Baseline 1",IF(AND(A264&gt;=DATE(2015,9,23),A264&lt;=DATE(2015,10,6)),"Promo 2",IF(AND(A264&gt;=DATE(2015,9,9),A264&lt;=DATE(2015,9,22)),"Baseline 2",IF(AND(A264&gt;=DATE(2016,6,23),A264&lt;=DATE(2016,7,6)),"Promo 3",IF(AND(A264&gt;=DATE(2016,6,9),A264&lt;=DATE(2016,6,22)),"Baseline 3","Other"))))))</f>
        <v>Baseline 1</v>
      </c>
    </row>
    <row r="265" customFormat="false" ht="15" hidden="false" customHeight="true" outlineLevel="0" collapsed="false">
      <c r="A265" s="12" t="n">
        <v>41901</v>
      </c>
      <c r="B265" s="13" t="n">
        <v>137154.954087791</v>
      </c>
      <c r="C265" s="13" t="n">
        <v>135276.909586046</v>
      </c>
      <c r="D265" s="14" t="n">
        <v>3915</v>
      </c>
      <c r="E265" s="15" t="n">
        <f aca="false">B265/D265</f>
        <v>35.0331938921561</v>
      </c>
      <c r="F265" s="15" t="n">
        <f aca="false">C265/D265</f>
        <v>34.5534890385814</v>
      </c>
      <c r="G265" s="13" t="n">
        <f aca="false">B265-C265</f>
        <v>1878.044501745</v>
      </c>
      <c r="H265" s="16" t="n">
        <f aca="false">G265/B265</f>
        <v>0.013692866686703</v>
      </c>
      <c r="I265" s="15" t="n">
        <f aca="false">G265/D265</f>
        <v>0.479704853574712</v>
      </c>
      <c r="J265" s="16" t="n">
        <f aca="false">I265/E265</f>
        <v>0.013692866686703</v>
      </c>
      <c r="K265" s="17" t="str">
        <f aca="false">TEXT(A265,"dddd")</f>
        <v>Friday</v>
      </c>
      <c r="L265" s="17" t="str">
        <f aca="false">IF(AND(A265&gt;=DATE(2014,9,24),A265&lt;=DATE(2014,10,6)),"Promo 1",IF(AND(A265&gt;=DATE(2014,9,10),A265&lt;=DATE(2014,9,23)),"Baseline 1",IF(AND(A265&gt;=DATE(2015,9,23),A265&lt;=DATE(2015,10,6)),"Promo 2",IF(AND(A265&gt;=DATE(2015,9,9),A265&lt;=DATE(2015,9,22)),"Baseline 2",IF(AND(A265&gt;=DATE(2016,6,23),A265&lt;=DATE(2016,7,6)),"Promo 3",IF(AND(A265&gt;=DATE(2016,6,9),A265&lt;=DATE(2016,6,22)),"Baseline 3","Other"))))))</f>
        <v>Baseline 1</v>
      </c>
    </row>
    <row r="266" customFormat="false" ht="15" hidden="false" customHeight="true" outlineLevel="0" collapsed="false">
      <c r="A266" s="12" t="n">
        <v>41902</v>
      </c>
      <c r="B266" s="13" t="n">
        <v>153569.06188021</v>
      </c>
      <c r="C266" s="13" t="n">
        <v>151376.135589805</v>
      </c>
      <c r="D266" s="14" t="n">
        <v>4383</v>
      </c>
      <c r="E266" s="15" t="n">
        <f aca="false">B266/D266</f>
        <v>35.0374314123226</v>
      </c>
      <c r="F266" s="15" t="n">
        <f aca="false">C266/D266</f>
        <v>34.5371059981303</v>
      </c>
      <c r="G266" s="13" t="n">
        <f aca="false">B266-C266</f>
        <v>2192.92629040501</v>
      </c>
      <c r="H266" s="16" t="n">
        <f aca="false">G266/B266</f>
        <v>0.0142797400957986</v>
      </c>
      <c r="I266" s="15" t="n">
        <f aca="false">G266/D266</f>
        <v>0.500325414192337</v>
      </c>
      <c r="J266" s="16" t="n">
        <f aca="false">I266/E266</f>
        <v>0.0142797400957986</v>
      </c>
      <c r="K266" s="17" t="str">
        <f aca="false">TEXT(A266,"dddd")</f>
        <v>Saturday</v>
      </c>
      <c r="L266" s="17" t="str">
        <f aca="false">IF(AND(A266&gt;=DATE(2014,9,24),A266&lt;=DATE(2014,10,6)),"Promo 1",IF(AND(A266&gt;=DATE(2014,9,10),A266&lt;=DATE(2014,9,23)),"Baseline 1",IF(AND(A266&gt;=DATE(2015,9,23),A266&lt;=DATE(2015,10,6)),"Promo 2",IF(AND(A266&gt;=DATE(2015,9,9),A266&lt;=DATE(2015,9,22)),"Baseline 2",IF(AND(A266&gt;=DATE(2016,6,23),A266&lt;=DATE(2016,7,6)),"Promo 3",IF(AND(A266&gt;=DATE(2016,6,9),A266&lt;=DATE(2016,6,22)),"Baseline 3","Other"))))))</f>
        <v>Baseline 1</v>
      </c>
    </row>
    <row r="267" customFormat="false" ht="15" hidden="false" customHeight="true" outlineLevel="0" collapsed="false">
      <c r="A267" s="12" t="n">
        <v>41903</v>
      </c>
      <c r="B267" s="13" t="n">
        <v>75633.3205886863</v>
      </c>
      <c r="C267" s="13" t="n">
        <v>74546.6682535992</v>
      </c>
      <c r="D267" s="14" t="n">
        <v>2159</v>
      </c>
      <c r="E267" s="15" t="n">
        <f aca="false">B267/D267</f>
        <v>35.0316445524253</v>
      </c>
      <c r="F267" s="15" t="n">
        <f aca="false">C267/D267</f>
        <v>34.5283317524776</v>
      </c>
      <c r="G267" s="13" t="n">
        <f aca="false">B267-C267</f>
        <v>1086.6523350871</v>
      </c>
      <c r="H267" s="16" t="n">
        <f aca="false">G267/B267</f>
        <v>0.0143673757363715</v>
      </c>
      <c r="I267" s="15" t="n">
        <f aca="false">G267/D267</f>
        <v>0.503312799947707</v>
      </c>
      <c r="J267" s="16" t="n">
        <f aca="false">I267/E267</f>
        <v>0.0143673757363715</v>
      </c>
      <c r="K267" s="17" t="str">
        <f aca="false">TEXT(A267,"dddd")</f>
        <v>Sunday</v>
      </c>
      <c r="L267" s="17" t="str">
        <f aca="false">IF(AND(A267&gt;=DATE(2014,9,24),A267&lt;=DATE(2014,10,6)),"Promo 1",IF(AND(A267&gt;=DATE(2014,9,10),A267&lt;=DATE(2014,9,23)),"Baseline 1",IF(AND(A267&gt;=DATE(2015,9,23),A267&lt;=DATE(2015,10,6)),"Promo 2",IF(AND(A267&gt;=DATE(2015,9,9),A267&lt;=DATE(2015,9,22)),"Baseline 2",IF(AND(A267&gt;=DATE(2016,6,23),A267&lt;=DATE(2016,7,6)),"Promo 3",IF(AND(A267&gt;=DATE(2016,6,9),A267&lt;=DATE(2016,6,22)),"Baseline 3","Other"))))))</f>
        <v>Baseline 1</v>
      </c>
    </row>
    <row r="268" customFormat="false" ht="15" hidden="false" customHeight="true" outlineLevel="0" collapsed="false">
      <c r="A268" s="12" t="n">
        <v>41904</v>
      </c>
      <c r="B268" s="13" t="n">
        <v>90815.9298126909</v>
      </c>
      <c r="C268" s="13" t="n">
        <v>89653.6375894529</v>
      </c>
      <c r="D268" s="14" t="n">
        <v>2592</v>
      </c>
      <c r="E268" s="15" t="n">
        <f aca="false">B268/D268</f>
        <v>35.0370099585999</v>
      </c>
      <c r="F268" s="15" t="n">
        <f aca="false">C268/D268</f>
        <v>34.5885947490173</v>
      </c>
      <c r="G268" s="13" t="n">
        <f aca="false">B268-C268</f>
        <v>1162.29222323799</v>
      </c>
      <c r="H268" s="16" t="n">
        <f aca="false">G268/B268</f>
        <v>0.0127983298264439</v>
      </c>
      <c r="I268" s="15" t="n">
        <f aca="false">G268/D268</f>
        <v>0.448415209582559</v>
      </c>
      <c r="J268" s="16" t="n">
        <f aca="false">I268/E268</f>
        <v>0.0127983298264439</v>
      </c>
      <c r="K268" s="17" t="str">
        <f aca="false">TEXT(A268,"dddd")</f>
        <v>Monday</v>
      </c>
      <c r="L268" s="17" t="str">
        <f aca="false">IF(AND(A268&gt;=DATE(2014,9,24),A268&lt;=DATE(2014,10,6)),"Promo 1",IF(AND(A268&gt;=DATE(2014,9,10),A268&lt;=DATE(2014,9,23)),"Baseline 1",IF(AND(A268&gt;=DATE(2015,9,23),A268&lt;=DATE(2015,10,6)),"Promo 2",IF(AND(A268&gt;=DATE(2015,9,9),A268&lt;=DATE(2015,9,22)),"Baseline 2",IF(AND(A268&gt;=DATE(2016,6,23),A268&lt;=DATE(2016,7,6)),"Promo 3",IF(AND(A268&gt;=DATE(2016,6,9),A268&lt;=DATE(2016,6,22)),"Baseline 3","Other"))))))</f>
        <v>Baseline 1</v>
      </c>
    </row>
    <row r="269" customFormat="false" ht="15" hidden="false" customHeight="true" outlineLevel="0" collapsed="false">
      <c r="A269" s="12" t="n">
        <v>41905</v>
      </c>
      <c r="B269" s="13" t="n">
        <v>110118.15639147</v>
      </c>
      <c r="C269" s="13" t="n">
        <v>108880.408963183</v>
      </c>
      <c r="D269" s="14" t="n">
        <v>3143</v>
      </c>
      <c r="E269" s="15" t="n">
        <f aca="false">B269/D269</f>
        <v>35.0360026698918</v>
      </c>
      <c r="F269" s="15" t="n">
        <f aca="false">C269/D269</f>
        <v>34.6421918432017</v>
      </c>
      <c r="G269" s="13" t="n">
        <f aca="false">B269-C269</f>
        <v>1237.747428287</v>
      </c>
      <c r="H269" s="16" t="n">
        <f aca="false">G269/B269</f>
        <v>0.0112401757243992</v>
      </c>
      <c r="I269" s="15" t="n">
        <f aca="false">G269/D269</f>
        <v>0.393810826690104</v>
      </c>
      <c r="J269" s="16" t="n">
        <f aca="false">I269/E269</f>
        <v>0.0112401757243992</v>
      </c>
      <c r="K269" s="17" t="str">
        <f aca="false">TEXT(A269,"dddd")</f>
        <v>Tuesday</v>
      </c>
      <c r="L269" s="17" t="str">
        <f aca="false">IF(AND(A269&gt;=DATE(2014,9,24),A269&lt;=DATE(2014,10,6)),"Promo 1",IF(AND(A269&gt;=DATE(2014,9,10),A269&lt;=DATE(2014,9,23)),"Baseline 1",IF(AND(A269&gt;=DATE(2015,9,23),A269&lt;=DATE(2015,10,6)),"Promo 2",IF(AND(A269&gt;=DATE(2015,9,9),A269&lt;=DATE(2015,9,22)),"Baseline 2",IF(AND(A269&gt;=DATE(2016,6,23),A269&lt;=DATE(2016,7,6)),"Promo 3",IF(AND(A269&gt;=DATE(2016,6,9),A269&lt;=DATE(2016,6,22)),"Baseline 3","Other"))))))</f>
        <v>Baseline 1</v>
      </c>
    </row>
    <row r="270" customFormat="false" ht="15" hidden="false" customHeight="true" outlineLevel="0" collapsed="false">
      <c r="A270" s="12" t="n">
        <v>41906</v>
      </c>
      <c r="B270" s="13" t="n">
        <v>209908.38311164</v>
      </c>
      <c r="C270" s="13" t="n">
        <v>223554.086601751</v>
      </c>
      <c r="D270" s="14" t="n">
        <v>6457</v>
      </c>
      <c r="E270" s="15" t="n">
        <f aca="false">B270/D270</f>
        <v>32.5086546556667</v>
      </c>
      <c r="F270" s="15" t="n">
        <f aca="false">C270/D270</f>
        <v>34.6219740749189</v>
      </c>
      <c r="G270" s="13" t="n">
        <f aca="false">B270-C270</f>
        <v>-13645.703490111</v>
      </c>
      <c r="H270" s="16" t="n">
        <f aca="false">G270/B270</f>
        <v>-0.0650079014845898</v>
      </c>
      <c r="I270" s="15" t="n">
        <f aca="false">G270/D270</f>
        <v>-2.11331941925213</v>
      </c>
      <c r="J270" s="16" t="n">
        <f aca="false">I270/E270</f>
        <v>-0.0650079014845898</v>
      </c>
      <c r="K270" s="17" t="str">
        <f aca="false">TEXT(A270,"dddd")</f>
        <v>Wednesday</v>
      </c>
      <c r="L270" s="17" t="str">
        <f aca="false">IF(AND(A270&gt;=DATE(2014,9,24),A270&lt;=DATE(2014,10,6)),"Promo 1",IF(AND(A270&gt;=DATE(2014,9,10),A270&lt;=DATE(2014,9,23)),"Baseline 1",IF(AND(A270&gt;=DATE(2015,9,23),A270&lt;=DATE(2015,10,6)),"Promo 2",IF(AND(A270&gt;=DATE(2015,9,9),A270&lt;=DATE(2015,9,22)),"Baseline 2",IF(AND(A270&gt;=DATE(2016,6,23),A270&lt;=DATE(2016,7,6)),"Promo 3",IF(AND(A270&gt;=DATE(2016,6,9),A270&lt;=DATE(2016,6,22)),"Baseline 3","Other"))))))</f>
        <v>Promo 1</v>
      </c>
    </row>
    <row r="271" customFormat="false" ht="15" hidden="false" customHeight="true" outlineLevel="0" collapsed="false">
      <c r="A271" s="12" t="n">
        <v>41907</v>
      </c>
      <c r="B271" s="13" t="n">
        <v>358365.682968793</v>
      </c>
      <c r="C271" s="13" t="n">
        <v>382967.983175683</v>
      </c>
      <c r="D271" s="14" t="n">
        <v>11039</v>
      </c>
      <c r="E271" s="15" t="n">
        <f aca="false">B271/D271</f>
        <v>32.4636002327016</v>
      </c>
      <c r="F271" s="15" t="n">
        <f aca="false">C271/D271</f>
        <v>34.6922713267219</v>
      </c>
      <c r="G271" s="13" t="n">
        <f aca="false">B271-C271</f>
        <v>-24602.30020689</v>
      </c>
      <c r="H271" s="16" t="n">
        <f aca="false">G271/B271</f>
        <v>-0.0686513842594478</v>
      </c>
      <c r="I271" s="15" t="n">
        <f aca="false">G271/D271</f>
        <v>-2.2286710940203</v>
      </c>
      <c r="J271" s="16" t="n">
        <f aca="false">I271/E271</f>
        <v>-0.0686513842594478</v>
      </c>
      <c r="K271" s="17" t="str">
        <f aca="false">TEXT(A271,"dddd")</f>
        <v>Thursday</v>
      </c>
      <c r="L271" s="17" t="str">
        <f aca="false">IF(AND(A271&gt;=DATE(2014,9,24),A271&lt;=DATE(2014,10,6)),"Promo 1",IF(AND(A271&gt;=DATE(2014,9,10),A271&lt;=DATE(2014,9,23)),"Baseline 1",IF(AND(A271&gt;=DATE(2015,9,23),A271&lt;=DATE(2015,10,6)),"Promo 2",IF(AND(A271&gt;=DATE(2015,9,9),A271&lt;=DATE(2015,9,22)),"Baseline 2",IF(AND(A271&gt;=DATE(2016,6,23),A271&lt;=DATE(2016,7,6)),"Promo 3",IF(AND(A271&gt;=DATE(2016,6,9),A271&lt;=DATE(2016,6,22)),"Baseline 3","Other"))))))</f>
        <v>Promo 1</v>
      </c>
    </row>
    <row r="272" customFormat="false" ht="15" hidden="false" customHeight="true" outlineLevel="0" collapsed="false">
      <c r="A272" s="12" t="n">
        <v>41908</v>
      </c>
      <c r="B272" s="13" t="n">
        <v>585463.99600736</v>
      </c>
      <c r="C272" s="13" t="n">
        <v>625980.930209415</v>
      </c>
      <c r="D272" s="14" t="n">
        <v>18036</v>
      </c>
      <c r="E272" s="15" t="n">
        <f aca="false">B272/D272</f>
        <v>32.4608558442759</v>
      </c>
      <c r="F272" s="15" t="n">
        <f aca="false">C272/D272</f>
        <v>34.7073037374925</v>
      </c>
      <c r="G272" s="13" t="n">
        <f aca="false">B272-C272</f>
        <v>-40516.934202055</v>
      </c>
      <c r="H272" s="16" t="n">
        <f aca="false">G272/B272</f>
        <v>-0.0692048263913152</v>
      </c>
      <c r="I272" s="15" t="n">
        <f aca="false">G272/D272</f>
        <v>-2.24644789321662</v>
      </c>
      <c r="J272" s="16" t="n">
        <f aca="false">I272/E272</f>
        <v>-0.0692048263913152</v>
      </c>
      <c r="K272" s="17" t="str">
        <f aca="false">TEXT(A272,"dddd")</f>
        <v>Friday</v>
      </c>
      <c r="L272" s="17" t="str">
        <f aca="false">IF(AND(A272&gt;=DATE(2014,9,24),A272&lt;=DATE(2014,10,6)),"Promo 1",IF(AND(A272&gt;=DATE(2014,9,10),A272&lt;=DATE(2014,9,23)),"Baseline 1",IF(AND(A272&gt;=DATE(2015,9,23),A272&lt;=DATE(2015,10,6)),"Promo 2",IF(AND(A272&gt;=DATE(2015,9,9),A272&lt;=DATE(2015,9,22)),"Baseline 2",IF(AND(A272&gt;=DATE(2016,6,23),A272&lt;=DATE(2016,7,6)),"Promo 3",IF(AND(A272&gt;=DATE(2016,6,9),A272&lt;=DATE(2016,6,22)),"Baseline 3","Other"))))))</f>
        <v>Promo 1</v>
      </c>
    </row>
    <row r="273" customFormat="false" ht="15" hidden="false" customHeight="true" outlineLevel="0" collapsed="false">
      <c r="A273" s="12" t="n">
        <v>41909</v>
      </c>
      <c r="B273" s="13" t="n">
        <v>617019.091534421</v>
      </c>
      <c r="C273" s="13" t="n">
        <v>661010.591263862</v>
      </c>
      <c r="D273" s="14" t="n">
        <v>19017</v>
      </c>
      <c r="E273" s="15" t="n">
        <f aca="false">B273/D273</f>
        <v>32.4456587019204</v>
      </c>
      <c r="F273" s="15" t="n">
        <f aca="false">C273/D273</f>
        <v>34.7589310229722</v>
      </c>
      <c r="G273" s="13" t="n">
        <f aca="false">B273-C273</f>
        <v>-43991.499729441</v>
      </c>
      <c r="H273" s="16" t="n">
        <f aca="false">G273/B273</f>
        <v>-0.0712968210109053</v>
      </c>
      <c r="I273" s="15" t="n">
        <f aca="false">G273/D273</f>
        <v>-2.31327232105174</v>
      </c>
      <c r="J273" s="16" t="n">
        <f aca="false">I273/E273</f>
        <v>-0.0712968210109053</v>
      </c>
      <c r="K273" s="17" t="str">
        <f aca="false">TEXT(A273,"dddd")</f>
        <v>Saturday</v>
      </c>
      <c r="L273" s="17" t="str">
        <f aca="false">IF(AND(A273&gt;=DATE(2014,9,24),A273&lt;=DATE(2014,10,6)),"Promo 1",IF(AND(A273&gt;=DATE(2014,9,10),A273&lt;=DATE(2014,9,23)),"Baseline 1",IF(AND(A273&gt;=DATE(2015,9,23),A273&lt;=DATE(2015,10,6)),"Promo 2",IF(AND(A273&gt;=DATE(2015,9,9),A273&lt;=DATE(2015,9,22)),"Baseline 2",IF(AND(A273&gt;=DATE(2016,6,23),A273&lt;=DATE(2016,7,6)),"Promo 3",IF(AND(A273&gt;=DATE(2016,6,9),A273&lt;=DATE(2016,6,22)),"Baseline 3","Other"))))))</f>
        <v>Promo 1</v>
      </c>
    </row>
    <row r="274" customFormat="false" ht="15" hidden="false" customHeight="true" outlineLevel="0" collapsed="false">
      <c r="A274" s="12" t="n">
        <v>41910</v>
      </c>
      <c r="B274" s="13" t="n">
        <v>283850.5971055</v>
      </c>
      <c r="C274" s="13" t="n">
        <v>304440.651506455</v>
      </c>
      <c r="D274" s="14" t="n">
        <v>8747</v>
      </c>
      <c r="E274" s="15" t="n">
        <f aca="false">B274/D274</f>
        <v>32.4511943644107</v>
      </c>
      <c r="F274" s="15" t="n">
        <f aca="false">C274/D274</f>
        <v>34.8051505094838</v>
      </c>
      <c r="G274" s="13" t="n">
        <f aca="false">B274-C274</f>
        <v>-20590.054400955</v>
      </c>
      <c r="H274" s="16" t="n">
        <f aca="false">G274/B274</f>
        <v>-0.0725383515515459</v>
      </c>
      <c r="I274" s="15" t="n">
        <f aca="false">G274/D274</f>
        <v>-2.35395614507317</v>
      </c>
      <c r="J274" s="16" t="n">
        <f aca="false">I274/E274</f>
        <v>-0.0725383515515459</v>
      </c>
      <c r="K274" s="17" t="str">
        <f aca="false">TEXT(A274,"dddd")</f>
        <v>Sunday</v>
      </c>
      <c r="L274" s="17" t="str">
        <f aca="false">IF(AND(A274&gt;=DATE(2014,9,24),A274&lt;=DATE(2014,10,6)),"Promo 1",IF(AND(A274&gt;=DATE(2014,9,10),A274&lt;=DATE(2014,9,23)),"Baseline 1",IF(AND(A274&gt;=DATE(2015,9,23),A274&lt;=DATE(2015,10,6)),"Promo 2",IF(AND(A274&gt;=DATE(2015,9,9),A274&lt;=DATE(2015,9,22)),"Baseline 2",IF(AND(A274&gt;=DATE(2016,6,23),A274&lt;=DATE(2016,7,6)),"Promo 3",IF(AND(A274&gt;=DATE(2016,6,9),A274&lt;=DATE(2016,6,22)),"Baseline 3","Other"))))))</f>
        <v>Promo 1</v>
      </c>
    </row>
    <row r="275" customFormat="false" ht="15" hidden="false" customHeight="true" outlineLevel="0" collapsed="false">
      <c r="A275" s="12" t="n">
        <v>41911</v>
      </c>
      <c r="B275" s="13" t="n">
        <v>264317.110368106</v>
      </c>
      <c r="C275" s="13" t="n">
        <v>283912.968697442</v>
      </c>
      <c r="D275" s="14" t="n">
        <v>8147</v>
      </c>
      <c r="E275" s="15" t="n">
        <f aca="false">B275/D275</f>
        <v>32.443489673267</v>
      </c>
      <c r="F275" s="15" t="n">
        <f aca="false">C275/D275</f>
        <v>34.8487748493239</v>
      </c>
      <c r="G275" s="13" t="n">
        <f aca="false">B275-C275</f>
        <v>-19595.858329336</v>
      </c>
      <c r="H275" s="16" t="n">
        <f aca="false">G275/B275</f>
        <v>-0.0741376837165232</v>
      </c>
      <c r="I275" s="15" t="n">
        <f aca="false">G275/D275</f>
        <v>-2.40528517605695</v>
      </c>
      <c r="J275" s="16" t="n">
        <f aca="false">I275/E275</f>
        <v>-0.0741376837165231</v>
      </c>
      <c r="K275" s="17" t="str">
        <f aca="false">TEXT(A275,"dddd")</f>
        <v>Monday</v>
      </c>
      <c r="L275" s="17" t="str">
        <f aca="false">IF(AND(A275&gt;=DATE(2014,9,24),A275&lt;=DATE(2014,10,6)),"Promo 1",IF(AND(A275&gt;=DATE(2014,9,10),A275&lt;=DATE(2014,9,23)),"Baseline 1",IF(AND(A275&gt;=DATE(2015,9,23),A275&lt;=DATE(2015,10,6)),"Promo 2",IF(AND(A275&gt;=DATE(2015,9,9),A275&lt;=DATE(2015,9,22)),"Baseline 2",IF(AND(A275&gt;=DATE(2016,6,23),A275&lt;=DATE(2016,7,6)),"Promo 3",IF(AND(A275&gt;=DATE(2016,6,9),A275&lt;=DATE(2016,6,22)),"Baseline 3","Other"))))))</f>
        <v>Promo 1</v>
      </c>
    </row>
    <row r="276" customFormat="false" ht="15" hidden="false" customHeight="true" outlineLevel="0" collapsed="false">
      <c r="A276" s="12" t="n">
        <v>41912</v>
      </c>
      <c r="B276" s="13" t="n">
        <v>358024.981348826</v>
      </c>
      <c r="C276" s="13" t="n">
        <v>384823.439878072</v>
      </c>
      <c r="D276" s="14" t="n">
        <v>11036</v>
      </c>
      <c r="E276" s="15" t="n">
        <f aca="false">B276/D276</f>
        <v>32.4415532211695</v>
      </c>
      <c r="F276" s="15" t="n">
        <f aca="false">C276/D276</f>
        <v>34.8698296373751</v>
      </c>
      <c r="G276" s="13" t="n">
        <f aca="false">B276-C276</f>
        <v>-26798.458529246</v>
      </c>
      <c r="H276" s="16" t="n">
        <f aca="false">G276/B276</f>
        <v>-0.0748508062992847</v>
      </c>
      <c r="I276" s="15" t="n">
        <f aca="false">G276/D276</f>
        <v>-2.42827641620569</v>
      </c>
      <c r="J276" s="16" t="n">
        <f aca="false">I276/E276</f>
        <v>-0.0748508062992847</v>
      </c>
      <c r="K276" s="17" t="str">
        <f aca="false">TEXT(A276,"dddd")</f>
        <v>Tuesday</v>
      </c>
      <c r="L276" s="17" t="str">
        <f aca="false">IF(AND(A276&gt;=DATE(2014,9,24),A276&lt;=DATE(2014,10,6)),"Promo 1",IF(AND(A276&gt;=DATE(2014,9,10),A276&lt;=DATE(2014,9,23)),"Baseline 1",IF(AND(A276&gt;=DATE(2015,9,23),A276&lt;=DATE(2015,10,6)),"Promo 2",IF(AND(A276&gt;=DATE(2015,9,9),A276&lt;=DATE(2015,9,22)),"Baseline 2",IF(AND(A276&gt;=DATE(2016,6,23),A276&lt;=DATE(2016,7,6)),"Promo 3",IF(AND(A276&gt;=DATE(2016,6,9),A276&lt;=DATE(2016,6,22)),"Baseline 3","Other"))))))</f>
        <v>Promo 1</v>
      </c>
    </row>
    <row r="277" customFormat="false" ht="15" hidden="false" customHeight="true" outlineLevel="0" collapsed="false">
      <c r="A277" s="12" t="n">
        <v>41913</v>
      </c>
      <c r="B277" s="13" t="n">
        <v>594438.2807803</v>
      </c>
      <c r="C277" s="13" t="n">
        <v>639306.568782465</v>
      </c>
      <c r="D277" s="14" t="n">
        <v>18330</v>
      </c>
      <c r="E277" s="15" t="n">
        <f aca="false">B277/D277</f>
        <v>32.4298025521168</v>
      </c>
      <c r="F277" s="15" t="n">
        <f aca="false">C277/D277</f>
        <v>34.8776087715475</v>
      </c>
      <c r="G277" s="13" t="n">
        <f aca="false">B277-C277</f>
        <v>-44868.2880021649</v>
      </c>
      <c r="H277" s="16" t="n">
        <f aca="false">G277/B277</f>
        <v>-0.0754801456313812</v>
      </c>
      <c r="I277" s="15" t="n">
        <f aca="false">G277/D277</f>
        <v>-2.44780621943071</v>
      </c>
      <c r="J277" s="16" t="n">
        <f aca="false">I277/E277</f>
        <v>-0.0754801456313812</v>
      </c>
      <c r="K277" s="17" t="str">
        <f aca="false">TEXT(A277,"dddd")</f>
        <v>Wednesday</v>
      </c>
      <c r="L277" s="17" t="str">
        <f aca="false">IF(AND(A277&gt;=DATE(2014,9,24),A277&lt;=DATE(2014,10,6)),"Promo 1",IF(AND(A277&gt;=DATE(2014,9,10),A277&lt;=DATE(2014,9,23)),"Baseline 1",IF(AND(A277&gt;=DATE(2015,9,23),A277&lt;=DATE(2015,10,6)),"Promo 2",IF(AND(A277&gt;=DATE(2015,9,9),A277&lt;=DATE(2015,9,22)),"Baseline 2",IF(AND(A277&gt;=DATE(2016,6,23),A277&lt;=DATE(2016,7,6)),"Promo 3",IF(AND(A277&gt;=DATE(2016,6,9),A277&lt;=DATE(2016,6,22)),"Baseline 3","Other"))))))</f>
        <v>Promo 1</v>
      </c>
    </row>
    <row r="278" customFormat="false" ht="15" hidden="false" customHeight="true" outlineLevel="0" collapsed="false">
      <c r="A278" s="12" t="n">
        <v>41914</v>
      </c>
      <c r="B278" s="13" t="n">
        <v>470507.663044439</v>
      </c>
      <c r="C278" s="13" t="n">
        <v>506072.033341429</v>
      </c>
      <c r="D278" s="14" t="n">
        <v>14503</v>
      </c>
      <c r="E278" s="15" t="n">
        <f aca="false">B278/D278</f>
        <v>32.4420921908873</v>
      </c>
      <c r="F278" s="15" t="n">
        <f aca="false">C278/D278</f>
        <v>34.8943000304371</v>
      </c>
      <c r="G278" s="13" t="n">
        <f aca="false">B278-C278</f>
        <v>-35564.37029699</v>
      </c>
      <c r="H278" s="16" t="n">
        <f aca="false">G278/B278</f>
        <v>-0.0755872286263508</v>
      </c>
      <c r="I278" s="15" t="n">
        <f aca="false">G278/D278</f>
        <v>-2.45220783954975</v>
      </c>
      <c r="J278" s="16" t="n">
        <f aca="false">I278/E278</f>
        <v>-0.0755872286263508</v>
      </c>
      <c r="K278" s="17" t="str">
        <f aca="false">TEXT(A278,"dddd")</f>
        <v>Thursday</v>
      </c>
      <c r="L278" s="17" t="str">
        <f aca="false">IF(AND(A278&gt;=DATE(2014,9,24),A278&lt;=DATE(2014,10,6)),"Promo 1",IF(AND(A278&gt;=DATE(2014,9,10),A278&lt;=DATE(2014,9,23)),"Baseline 1",IF(AND(A278&gt;=DATE(2015,9,23),A278&lt;=DATE(2015,10,6)),"Promo 2",IF(AND(A278&gt;=DATE(2015,9,9),A278&lt;=DATE(2015,9,22)),"Baseline 2",IF(AND(A278&gt;=DATE(2016,6,23),A278&lt;=DATE(2016,7,6)),"Promo 3",IF(AND(A278&gt;=DATE(2016,6,9),A278&lt;=DATE(2016,6,22)),"Baseline 3","Other"))))))</f>
        <v>Promo 1</v>
      </c>
    </row>
    <row r="279" customFormat="false" ht="15" hidden="false" customHeight="true" outlineLevel="0" collapsed="false">
      <c r="A279" s="12" t="n">
        <v>41915</v>
      </c>
      <c r="B279" s="13" t="n">
        <v>518693.528664873</v>
      </c>
      <c r="C279" s="13" t="n">
        <v>557939.369276369</v>
      </c>
      <c r="D279" s="14" t="n">
        <v>15986</v>
      </c>
      <c r="E279" s="15" t="n">
        <f aca="false">B279/D279</f>
        <v>32.446736435936</v>
      </c>
      <c r="F279" s="15" t="n">
        <f aca="false">C279/D279</f>
        <v>34.9017496106824</v>
      </c>
      <c r="G279" s="13" t="n">
        <f aca="false">B279-C279</f>
        <v>-39245.840611496</v>
      </c>
      <c r="H279" s="16" t="n">
        <f aca="false">G279/B279</f>
        <v>-0.0756628691946776</v>
      </c>
      <c r="I279" s="15" t="n">
        <f aca="false">G279/D279</f>
        <v>-2.4550131747464</v>
      </c>
      <c r="J279" s="16" t="n">
        <f aca="false">I279/E279</f>
        <v>-0.0756628691946776</v>
      </c>
      <c r="K279" s="17" t="str">
        <f aca="false">TEXT(A279,"dddd")</f>
        <v>Friday</v>
      </c>
      <c r="L279" s="17" t="str">
        <f aca="false">IF(AND(A279&gt;=DATE(2014,9,24),A279&lt;=DATE(2014,10,6)),"Promo 1",IF(AND(A279&gt;=DATE(2014,9,10),A279&lt;=DATE(2014,9,23)),"Baseline 1",IF(AND(A279&gt;=DATE(2015,9,23),A279&lt;=DATE(2015,10,6)),"Promo 2",IF(AND(A279&gt;=DATE(2015,9,9),A279&lt;=DATE(2015,9,22)),"Baseline 2",IF(AND(A279&gt;=DATE(2016,6,23),A279&lt;=DATE(2016,7,6)),"Promo 3",IF(AND(A279&gt;=DATE(2016,6,9),A279&lt;=DATE(2016,6,22)),"Baseline 3","Other"))))))</f>
        <v>Promo 1</v>
      </c>
    </row>
    <row r="280" customFormat="false" ht="15" hidden="false" customHeight="true" outlineLevel="0" collapsed="false">
      <c r="A280" s="12" t="n">
        <v>41916</v>
      </c>
      <c r="B280" s="13" t="n">
        <v>656245.828428666</v>
      </c>
      <c r="C280" s="13" t="n">
        <v>705891.300262452</v>
      </c>
      <c r="D280" s="14" t="n">
        <v>20223</v>
      </c>
      <c r="E280" s="15" t="n">
        <f aca="false">B280/D280</f>
        <v>32.4504686954787</v>
      </c>
      <c r="F280" s="15" t="n">
        <f aca="false">C280/D280</f>
        <v>34.905370136105</v>
      </c>
      <c r="G280" s="13" t="n">
        <f aca="false">B280-C280</f>
        <v>-49645.471833786</v>
      </c>
      <c r="H280" s="16" t="n">
        <f aca="false">G280/B280</f>
        <v>-0.0756507236817925</v>
      </c>
      <c r="I280" s="15" t="n">
        <f aca="false">G280/D280</f>
        <v>-2.45490144062632</v>
      </c>
      <c r="J280" s="16" t="n">
        <f aca="false">I280/E280</f>
        <v>-0.0756507236817925</v>
      </c>
      <c r="K280" s="17" t="str">
        <f aca="false">TEXT(A280,"dddd")</f>
        <v>Saturday</v>
      </c>
      <c r="L280" s="17" t="str">
        <f aca="false">IF(AND(A280&gt;=DATE(2014,9,24),A280&lt;=DATE(2014,10,6)),"Promo 1",IF(AND(A280&gt;=DATE(2014,9,10),A280&lt;=DATE(2014,9,23)),"Baseline 1",IF(AND(A280&gt;=DATE(2015,9,23),A280&lt;=DATE(2015,10,6)),"Promo 2",IF(AND(A280&gt;=DATE(2015,9,9),A280&lt;=DATE(2015,9,22)),"Baseline 2",IF(AND(A280&gt;=DATE(2016,6,23),A280&lt;=DATE(2016,7,6)),"Promo 3",IF(AND(A280&gt;=DATE(2016,6,9),A280&lt;=DATE(2016,6,22)),"Baseline 3","Other"))))))</f>
        <v>Promo 1</v>
      </c>
    </row>
    <row r="281" customFormat="false" ht="15" hidden="false" customHeight="true" outlineLevel="0" collapsed="false">
      <c r="A281" s="12" t="n">
        <v>41917</v>
      </c>
      <c r="B281" s="13" t="n">
        <v>280055.117716763</v>
      </c>
      <c r="C281" s="13" t="n">
        <v>301279.654982432</v>
      </c>
      <c r="D281" s="14" t="n">
        <v>8631</v>
      </c>
      <c r="E281" s="15" t="n">
        <f aca="false">B281/D281</f>
        <v>32.4475863418796</v>
      </c>
      <c r="F281" s="15" t="n">
        <f aca="false">C281/D281</f>
        <v>34.9066915748386</v>
      </c>
      <c r="G281" s="13" t="n">
        <f aca="false">B281-C281</f>
        <v>-21224.537265669</v>
      </c>
      <c r="H281" s="16" t="n">
        <f aca="false">G281/B281</f>
        <v>-0.0757870002116323</v>
      </c>
      <c r="I281" s="15" t="n">
        <f aca="false">G281/D281</f>
        <v>-2.45910523295899</v>
      </c>
      <c r="J281" s="16" t="n">
        <f aca="false">I281/E281</f>
        <v>-0.0757870002116323</v>
      </c>
      <c r="K281" s="17" t="str">
        <f aca="false">TEXT(A281,"dddd")</f>
        <v>Sunday</v>
      </c>
      <c r="L281" s="17" t="str">
        <f aca="false">IF(AND(A281&gt;=DATE(2014,9,24),A281&lt;=DATE(2014,10,6)),"Promo 1",IF(AND(A281&gt;=DATE(2014,9,10),A281&lt;=DATE(2014,9,23)),"Baseline 1",IF(AND(A281&gt;=DATE(2015,9,23),A281&lt;=DATE(2015,10,6)),"Promo 2",IF(AND(A281&gt;=DATE(2015,9,9),A281&lt;=DATE(2015,9,22)),"Baseline 2",IF(AND(A281&gt;=DATE(2016,6,23),A281&lt;=DATE(2016,7,6)),"Promo 3",IF(AND(A281&gt;=DATE(2016,6,9),A281&lt;=DATE(2016,6,22)),"Baseline 3","Other"))))))</f>
        <v>Promo 1</v>
      </c>
    </row>
    <row r="282" customFormat="false" ht="15" hidden="false" customHeight="true" outlineLevel="0" collapsed="false">
      <c r="A282" s="12" t="n">
        <v>41918</v>
      </c>
      <c r="B282" s="13" t="n">
        <v>375648.017455954</v>
      </c>
      <c r="C282" s="13" t="n">
        <v>404178.921055228</v>
      </c>
      <c r="D282" s="14" t="n">
        <v>11579</v>
      </c>
      <c r="E282" s="15" t="n">
        <f aca="false">B282/D282</f>
        <v>32.4421813158264</v>
      </c>
      <c r="F282" s="15" t="n">
        <f aca="false">C282/D282</f>
        <v>34.9062026993029</v>
      </c>
      <c r="G282" s="13" t="n">
        <f aca="false">B282-C282</f>
        <v>-28530.903599274</v>
      </c>
      <c r="H282" s="16" t="n">
        <f aca="false">G282/B282</f>
        <v>-0.075951162453877</v>
      </c>
      <c r="I282" s="15" t="n">
        <f aca="false">G282/D282</f>
        <v>-2.46402138347647</v>
      </c>
      <c r="J282" s="16" t="n">
        <f aca="false">I282/E282</f>
        <v>-0.075951162453877</v>
      </c>
      <c r="K282" s="17" t="str">
        <f aca="false">TEXT(A282,"dddd")</f>
        <v>Monday</v>
      </c>
      <c r="L282" s="17" t="str">
        <f aca="false">IF(AND(A282&gt;=DATE(2014,9,24),A282&lt;=DATE(2014,10,6)),"Promo 1",IF(AND(A282&gt;=DATE(2014,9,10),A282&lt;=DATE(2014,9,23)),"Baseline 1",IF(AND(A282&gt;=DATE(2015,9,23),A282&lt;=DATE(2015,10,6)),"Promo 2",IF(AND(A282&gt;=DATE(2015,9,9),A282&lt;=DATE(2015,9,22)),"Baseline 2",IF(AND(A282&gt;=DATE(2016,6,23),A282&lt;=DATE(2016,7,6)),"Promo 3",IF(AND(A282&gt;=DATE(2016,6,9),A282&lt;=DATE(2016,6,22)),"Baseline 3","Other"))))))</f>
        <v>Promo 1</v>
      </c>
    </row>
    <row r="283" customFormat="false" ht="15" hidden="false" customHeight="true" outlineLevel="0" collapsed="false">
      <c r="A283" s="12" t="n">
        <v>41919</v>
      </c>
      <c r="B283" s="13" t="n">
        <v>78111.7164631207</v>
      </c>
      <c r="C283" s="13" t="n">
        <v>74251.8747259655</v>
      </c>
      <c r="D283" s="14" t="n">
        <v>2127</v>
      </c>
      <c r="E283" s="15" t="n">
        <f aca="false">B283/D283</f>
        <v>36.7238911439213</v>
      </c>
      <c r="F283" s="15" t="n">
        <f aca="false">C283/D283</f>
        <v>34.9092029741258</v>
      </c>
      <c r="G283" s="13" t="n">
        <f aca="false">B283-C283</f>
        <v>3859.84173715519</v>
      </c>
      <c r="H283" s="16" t="n">
        <f aca="false">G283/B283</f>
        <v>0.0494143761259882</v>
      </c>
      <c r="I283" s="15" t="n">
        <f aca="false">G283/D283</f>
        <v>1.81468816979558</v>
      </c>
      <c r="J283" s="16" t="n">
        <f aca="false">I283/E283</f>
        <v>0.0494143761259882</v>
      </c>
      <c r="K283" s="17" t="str">
        <f aca="false">TEXT(A283,"dddd")</f>
        <v>Tuesday</v>
      </c>
      <c r="L283" s="17" t="str">
        <f aca="false">IF(AND(A283&gt;=DATE(2014,9,24),A283&lt;=DATE(2014,10,6)),"Promo 1",IF(AND(A283&gt;=DATE(2014,9,10),A283&lt;=DATE(2014,9,23)),"Baseline 1",IF(AND(A283&gt;=DATE(2015,9,23),A283&lt;=DATE(2015,10,6)),"Promo 2",IF(AND(A283&gt;=DATE(2015,9,9),A283&lt;=DATE(2015,9,22)),"Baseline 2",IF(AND(A283&gt;=DATE(2016,6,23),A283&lt;=DATE(2016,7,6)),"Promo 3",IF(AND(A283&gt;=DATE(2016,6,9),A283&lt;=DATE(2016,6,22)),"Baseline 3","Other"))))))</f>
        <v>Other</v>
      </c>
    </row>
    <row r="284" customFormat="false" ht="15" hidden="false" customHeight="true" outlineLevel="0" collapsed="false">
      <c r="A284" s="12" t="n">
        <v>41920</v>
      </c>
      <c r="B284" s="13" t="n">
        <v>70509.1327915404</v>
      </c>
      <c r="C284" s="13" t="n">
        <v>67141.979629084</v>
      </c>
      <c r="D284" s="14" t="n">
        <v>1923</v>
      </c>
      <c r="E284" s="15" t="n">
        <f aca="false">B284/D284</f>
        <v>36.666215700229</v>
      </c>
      <c r="F284" s="15" t="n">
        <f aca="false">C284/D284</f>
        <v>34.9152260161643</v>
      </c>
      <c r="G284" s="13" t="n">
        <f aca="false">B284-C284</f>
        <v>3367.15316245639</v>
      </c>
      <c r="H284" s="16" t="n">
        <f aca="false">G284/B284</f>
        <v>0.0477548514518162</v>
      </c>
      <c r="I284" s="15" t="n">
        <f aca="false">G284/D284</f>
        <v>1.75098968406469</v>
      </c>
      <c r="J284" s="16" t="n">
        <f aca="false">I284/E284</f>
        <v>0.0477548514518162</v>
      </c>
      <c r="K284" s="17" t="str">
        <f aca="false">TEXT(A284,"dddd")</f>
        <v>Wednesday</v>
      </c>
      <c r="L284" s="17" t="str">
        <f aca="false">IF(AND(A284&gt;=DATE(2014,9,24),A284&lt;=DATE(2014,10,6)),"Promo 1",IF(AND(A284&gt;=DATE(2014,9,10),A284&lt;=DATE(2014,9,23)),"Baseline 1",IF(AND(A284&gt;=DATE(2015,9,23),A284&lt;=DATE(2015,10,6)),"Promo 2",IF(AND(A284&gt;=DATE(2015,9,9),A284&lt;=DATE(2015,9,22)),"Baseline 2",IF(AND(A284&gt;=DATE(2016,6,23),A284&lt;=DATE(2016,7,6)),"Promo 3",IF(AND(A284&gt;=DATE(2016,6,9),A284&lt;=DATE(2016,6,22)),"Baseline 3","Other"))))))</f>
        <v>Other</v>
      </c>
    </row>
    <row r="285" customFormat="false" ht="15" hidden="false" customHeight="true" outlineLevel="0" collapsed="false">
      <c r="A285" s="12" t="n">
        <v>41921</v>
      </c>
      <c r="B285" s="13" t="n">
        <v>103281.311047572</v>
      </c>
      <c r="C285" s="13" t="n">
        <v>98065.9390784509</v>
      </c>
      <c r="D285" s="14" t="n">
        <v>2809</v>
      </c>
      <c r="E285" s="15" t="n">
        <f aca="false">B285/D285</f>
        <v>36.767999660937</v>
      </c>
      <c r="F285" s="15" t="n">
        <f aca="false">C285/D285</f>
        <v>34.9113346665899</v>
      </c>
      <c r="G285" s="13" t="n">
        <f aca="false">B285-C285</f>
        <v>5215.3719691211</v>
      </c>
      <c r="H285" s="16" t="n">
        <f aca="false">G285/B285</f>
        <v>0.0504967638019125</v>
      </c>
      <c r="I285" s="15" t="n">
        <f aca="false">G285/D285</f>
        <v>1.85666499434713</v>
      </c>
      <c r="J285" s="16" t="n">
        <f aca="false">I285/E285</f>
        <v>0.0504967638019125</v>
      </c>
      <c r="K285" s="17" t="str">
        <f aca="false">TEXT(A285,"dddd")</f>
        <v>Thursday</v>
      </c>
      <c r="L285" s="17" t="str">
        <f aca="false">IF(AND(A285&gt;=DATE(2014,9,24),A285&lt;=DATE(2014,10,6)),"Promo 1",IF(AND(A285&gt;=DATE(2014,9,10),A285&lt;=DATE(2014,9,23)),"Baseline 1",IF(AND(A285&gt;=DATE(2015,9,23),A285&lt;=DATE(2015,10,6)),"Promo 2",IF(AND(A285&gt;=DATE(2015,9,9),A285&lt;=DATE(2015,9,22)),"Baseline 2",IF(AND(A285&gt;=DATE(2016,6,23),A285&lt;=DATE(2016,7,6)),"Promo 3",IF(AND(A285&gt;=DATE(2016,6,9),A285&lt;=DATE(2016,6,22)),"Baseline 3","Other"))))))</f>
        <v>Other</v>
      </c>
    </row>
    <row r="286" customFormat="false" ht="15" hidden="false" customHeight="true" outlineLevel="0" collapsed="false">
      <c r="A286" s="12" t="n">
        <v>41922</v>
      </c>
      <c r="B286" s="13" t="n">
        <v>179841.431779724</v>
      </c>
      <c r="C286" s="13" t="n">
        <v>170757.581177207</v>
      </c>
      <c r="D286" s="14" t="n">
        <v>4891</v>
      </c>
      <c r="E286" s="15" t="n">
        <f aca="false">B286/D286</f>
        <v>36.7698695112909</v>
      </c>
      <c r="F286" s="15" t="n">
        <f aca="false">C286/D286</f>
        <v>34.9126111587011</v>
      </c>
      <c r="G286" s="13" t="n">
        <f aca="false">B286-C286</f>
        <v>9083.85060251699</v>
      </c>
      <c r="H286" s="16" t="n">
        <f aca="false">G286/B286</f>
        <v>0.0505103329784608</v>
      </c>
      <c r="I286" s="15" t="n">
        <f aca="false">G286/D286</f>
        <v>1.85725835258986</v>
      </c>
      <c r="J286" s="16" t="n">
        <f aca="false">I286/E286</f>
        <v>0.0505103329784608</v>
      </c>
      <c r="K286" s="17" t="str">
        <f aca="false">TEXT(A286,"dddd")</f>
        <v>Friday</v>
      </c>
      <c r="L286" s="17" t="str">
        <f aca="false">IF(AND(A286&gt;=DATE(2014,9,24),A286&lt;=DATE(2014,10,6)),"Promo 1",IF(AND(A286&gt;=DATE(2014,9,10),A286&lt;=DATE(2014,9,23)),"Baseline 1",IF(AND(A286&gt;=DATE(2015,9,23),A286&lt;=DATE(2015,10,6)),"Promo 2",IF(AND(A286&gt;=DATE(2015,9,9),A286&lt;=DATE(2015,9,22)),"Baseline 2",IF(AND(A286&gt;=DATE(2016,6,23),A286&lt;=DATE(2016,7,6)),"Promo 3",IF(AND(A286&gt;=DATE(2016,6,9),A286&lt;=DATE(2016,6,22)),"Baseline 3","Other"))))))</f>
        <v>Other</v>
      </c>
    </row>
    <row r="287" customFormat="false" ht="15" hidden="false" customHeight="true" outlineLevel="0" collapsed="false">
      <c r="A287" s="12" t="n">
        <v>41923</v>
      </c>
      <c r="B287" s="13" t="n">
        <v>138038.239752895</v>
      </c>
      <c r="C287" s="13" t="n">
        <v>131192.316771474</v>
      </c>
      <c r="D287" s="14" t="n">
        <v>3758</v>
      </c>
      <c r="E287" s="15" t="n">
        <f aca="false">B287/D287</f>
        <v>36.7318360172685</v>
      </c>
      <c r="F287" s="15" t="n">
        <f aca="false">C287/D287</f>
        <v>34.9101428343465</v>
      </c>
      <c r="G287" s="13" t="n">
        <f aca="false">B287-C287</f>
        <v>6845.922981421</v>
      </c>
      <c r="H287" s="16" t="n">
        <f aca="false">G287/B287</f>
        <v>0.0495943949566151</v>
      </c>
      <c r="I287" s="15" t="n">
        <f aca="false">G287/D287</f>
        <v>1.82169318292203</v>
      </c>
      <c r="J287" s="16" t="n">
        <f aca="false">I287/E287</f>
        <v>0.0495943949566151</v>
      </c>
      <c r="K287" s="17" t="str">
        <f aca="false">TEXT(A287,"dddd")</f>
        <v>Saturday</v>
      </c>
      <c r="L287" s="17" t="str">
        <f aca="false">IF(AND(A287&gt;=DATE(2014,9,24),A287&lt;=DATE(2014,10,6)),"Promo 1",IF(AND(A287&gt;=DATE(2014,9,10),A287&lt;=DATE(2014,9,23)),"Baseline 1",IF(AND(A287&gt;=DATE(2015,9,23),A287&lt;=DATE(2015,10,6)),"Promo 2",IF(AND(A287&gt;=DATE(2015,9,9),A287&lt;=DATE(2015,9,22)),"Baseline 2",IF(AND(A287&gt;=DATE(2016,6,23),A287&lt;=DATE(2016,7,6)),"Promo 3",IF(AND(A287&gt;=DATE(2016,6,9),A287&lt;=DATE(2016,6,22)),"Baseline 3","Other"))))))</f>
        <v>Other</v>
      </c>
    </row>
    <row r="288" customFormat="false" ht="15" hidden="false" customHeight="true" outlineLevel="0" collapsed="false">
      <c r="A288" s="12" t="n">
        <v>41924</v>
      </c>
      <c r="B288" s="13" t="n">
        <v>61037.5622299704</v>
      </c>
      <c r="C288" s="13" t="n">
        <v>57992.3415111877</v>
      </c>
      <c r="D288" s="14" t="n">
        <v>1661</v>
      </c>
      <c r="E288" s="15" t="n">
        <f aca="false">B288/D288</f>
        <v>36.7474787657859</v>
      </c>
      <c r="F288" s="15" t="n">
        <f aca="false">C288/D288</f>
        <v>34.9141128905405</v>
      </c>
      <c r="G288" s="13" t="n">
        <f aca="false">B288-C288</f>
        <v>3045.2207187827</v>
      </c>
      <c r="H288" s="16" t="n">
        <f aca="false">G288/B288</f>
        <v>0.0498909295772538</v>
      </c>
      <c r="I288" s="15" t="n">
        <f aca="false">G288/D288</f>
        <v>1.83336587524546</v>
      </c>
      <c r="J288" s="16" t="n">
        <f aca="false">I288/E288</f>
        <v>0.0498909295772538</v>
      </c>
      <c r="K288" s="17" t="str">
        <f aca="false">TEXT(A288,"dddd")</f>
        <v>Sunday</v>
      </c>
      <c r="L288" s="17" t="str">
        <f aca="false">IF(AND(A288&gt;=DATE(2014,9,24),A288&lt;=DATE(2014,10,6)),"Promo 1",IF(AND(A288&gt;=DATE(2014,9,10),A288&lt;=DATE(2014,9,23)),"Baseline 1",IF(AND(A288&gt;=DATE(2015,9,23),A288&lt;=DATE(2015,10,6)),"Promo 2",IF(AND(A288&gt;=DATE(2015,9,9),A288&lt;=DATE(2015,9,22)),"Baseline 2",IF(AND(A288&gt;=DATE(2016,6,23),A288&lt;=DATE(2016,7,6)),"Promo 3",IF(AND(A288&gt;=DATE(2016,6,9),A288&lt;=DATE(2016,6,22)),"Baseline 3","Other"))))))</f>
        <v>Other</v>
      </c>
    </row>
    <row r="289" customFormat="false" ht="15" hidden="false" customHeight="true" outlineLevel="0" collapsed="false">
      <c r="A289" s="12" t="n">
        <v>41925</v>
      </c>
      <c r="B289" s="13" t="n">
        <v>86799.7594540417</v>
      </c>
      <c r="C289" s="13" t="n">
        <v>82392.3332646164</v>
      </c>
      <c r="D289" s="14" t="n">
        <v>2360</v>
      </c>
      <c r="E289" s="15" t="n">
        <f aca="false">B289/D289</f>
        <v>36.7795590906956</v>
      </c>
      <c r="F289" s="15" t="n">
        <f aca="false">C289/D289</f>
        <v>34.9120056206002</v>
      </c>
      <c r="G289" s="13" t="n">
        <f aca="false">B289-C289</f>
        <v>4407.4261894253</v>
      </c>
      <c r="H289" s="16" t="n">
        <f aca="false">G289/B289</f>
        <v>0.0507769401337906</v>
      </c>
      <c r="I289" s="15" t="n">
        <f aca="false">G289/D289</f>
        <v>1.86755347009547</v>
      </c>
      <c r="J289" s="16" t="n">
        <f aca="false">I289/E289</f>
        <v>0.0507769401337906</v>
      </c>
      <c r="K289" s="17" t="str">
        <f aca="false">TEXT(A289,"dddd")</f>
        <v>Monday</v>
      </c>
      <c r="L289" s="17" t="str">
        <f aca="false">IF(AND(A289&gt;=DATE(2014,9,24),A289&lt;=DATE(2014,10,6)),"Promo 1",IF(AND(A289&gt;=DATE(2014,9,10),A289&lt;=DATE(2014,9,23)),"Baseline 1",IF(AND(A289&gt;=DATE(2015,9,23),A289&lt;=DATE(2015,10,6)),"Promo 2",IF(AND(A289&gt;=DATE(2015,9,9),A289&lt;=DATE(2015,9,22)),"Baseline 2",IF(AND(A289&gt;=DATE(2016,6,23),A289&lt;=DATE(2016,7,6)),"Promo 3",IF(AND(A289&gt;=DATE(2016,6,9),A289&lt;=DATE(2016,6,22)),"Baseline 3","Other"))))))</f>
        <v>Other</v>
      </c>
    </row>
    <row r="290" customFormat="false" ht="15" hidden="false" customHeight="true" outlineLevel="0" collapsed="false">
      <c r="A290" s="12" t="n">
        <v>41926</v>
      </c>
      <c r="B290" s="13" t="n">
        <v>69570.5014667007</v>
      </c>
      <c r="C290" s="13" t="n">
        <v>66313.9409792702</v>
      </c>
      <c r="D290" s="14" t="n">
        <v>1894</v>
      </c>
      <c r="E290" s="15" t="n">
        <f aca="false">B290/D290</f>
        <v>36.7320493488388</v>
      </c>
      <c r="F290" s="15" t="n">
        <f aca="false">C290/D290</f>
        <v>35.0126404325608</v>
      </c>
      <c r="G290" s="13" t="n">
        <f aca="false">B290-C290</f>
        <v>3256.5604874305</v>
      </c>
      <c r="H290" s="16" t="n">
        <f aca="false">G290/B290</f>
        <v>0.0468095014233759</v>
      </c>
      <c r="I290" s="15" t="n">
        <f aca="false">G290/D290</f>
        <v>1.71940891627798</v>
      </c>
      <c r="J290" s="16" t="n">
        <f aca="false">I290/E290</f>
        <v>0.0468095014233759</v>
      </c>
      <c r="K290" s="17" t="str">
        <f aca="false">TEXT(A290,"dddd")</f>
        <v>Tuesday</v>
      </c>
      <c r="L290" s="17" t="str">
        <f aca="false">IF(AND(A290&gt;=DATE(2014,9,24),A290&lt;=DATE(2014,10,6)),"Promo 1",IF(AND(A290&gt;=DATE(2014,9,10),A290&lt;=DATE(2014,9,23)),"Baseline 1",IF(AND(A290&gt;=DATE(2015,9,23),A290&lt;=DATE(2015,10,6)),"Promo 2",IF(AND(A290&gt;=DATE(2015,9,9),A290&lt;=DATE(2015,9,22)),"Baseline 2",IF(AND(A290&gt;=DATE(2016,6,23),A290&lt;=DATE(2016,7,6)),"Promo 3",IF(AND(A290&gt;=DATE(2016,6,9),A290&lt;=DATE(2016,6,22)),"Baseline 3","Other"))))))</f>
        <v>Other</v>
      </c>
    </row>
    <row r="291" customFormat="false" ht="15" hidden="false" customHeight="true" outlineLevel="0" collapsed="false">
      <c r="A291" s="12" t="n">
        <v>41927</v>
      </c>
      <c r="B291" s="13" t="n">
        <v>130476.355345242</v>
      </c>
      <c r="C291" s="13" t="n">
        <v>124398.431629589</v>
      </c>
      <c r="D291" s="14" t="n">
        <v>3548</v>
      </c>
      <c r="E291" s="15" t="n">
        <f aca="false">B291/D291</f>
        <v>36.7746210104966</v>
      </c>
      <c r="F291" s="15" t="n">
        <f aca="false">C291/D291</f>
        <v>35.0615647208537</v>
      </c>
      <c r="G291" s="13" t="n">
        <f aca="false">B291-C291</f>
        <v>6077.923715653</v>
      </c>
      <c r="H291" s="16" t="n">
        <f aca="false">G291/B291</f>
        <v>0.046582568156282</v>
      </c>
      <c r="I291" s="15" t="n">
        <f aca="false">G291/D291</f>
        <v>1.7130562896429</v>
      </c>
      <c r="J291" s="16" t="n">
        <f aca="false">I291/E291</f>
        <v>0.046582568156282</v>
      </c>
      <c r="K291" s="17" t="str">
        <f aca="false">TEXT(A291,"dddd")</f>
        <v>Wednesday</v>
      </c>
      <c r="L291" s="17" t="str">
        <f aca="false">IF(AND(A291&gt;=DATE(2014,9,24),A291&lt;=DATE(2014,10,6)),"Promo 1",IF(AND(A291&gt;=DATE(2014,9,10),A291&lt;=DATE(2014,9,23)),"Baseline 1",IF(AND(A291&gt;=DATE(2015,9,23),A291&lt;=DATE(2015,10,6)),"Promo 2",IF(AND(A291&gt;=DATE(2015,9,9),A291&lt;=DATE(2015,9,22)),"Baseline 2",IF(AND(A291&gt;=DATE(2016,6,23),A291&lt;=DATE(2016,7,6)),"Promo 3",IF(AND(A291&gt;=DATE(2016,6,9),A291&lt;=DATE(2016,6,22)),"Baseline 3","Other"))))))</f>
        <v>Other</v>
      </c>
    </row>
    <row r="292" customFormat="false" ht="15" hidden="false" customHeight="true" outlineLevel="0" collapsed="false">
      <c r="A292" s="12" t="n">
        <v>41928</v>
      </c>
      <c r="B292" s="13" t="n">
        <v>95229.7734800812</v>
      </c>
      <c r="C292" s="13" t="n">
        <v>91087.8513355429</v>
      </c>
      <c r="D292" s="14" t="n">
        <v>2591</v>
      </c>
      <c r="E292" s="15" t="n">
        <f aca="false">B292/D292</f>
        <v>36.7540615515559</v>
      </c>
      <c r="F292" s="15" t="n">
        <f aca="false">C292/D292</f>
        <v>35.1554810249104</v>
      </c>
      <c r="G292" s="13" t="n">
        <f aca="false">B292-C292</f>
        <v>4141.9221445383</v>
      </c>
      <c r="H292" s="16" t="n">
        <f aca="false">G292/B292</f>
        <v>0.0434939829548649</v>
      </c>
      <c r="I292" s="15" t="n">
        <f aca="false">G292/D292</f>
        <v>1.59858052664543</v>
      </c>
      <c r="J292" s="16" t="n">
        <f aca="false">I292/E292</f>
        <v>0.0434939829548649</v>
      </c>
      <c r="K292" s="17" t="str">
        <f aca="false">TEXT(A292,"dddd")</f>
        <v>Thursday</v>
      </c>
      <c r="L292" s="17" t="str">
        <f aca="false">IF(AND(A292&gt;=DATE(2014,9,24),A292&lt;=DATE(2014,10,6)),"Promo 1",IF(AND(A292&gt;=DATE(2014,9,10),A292&lt;=DATE(2014,9,23)),"Baseline 1",IF(AND(A292&gt;=DATE(2015,9,23),A292&lt;=DATE(2015,10,6)),"Promo 2",IF(AND(A292&gt;=DATE(2015,9,9),A292&lt;=DATE(2015,9,22)),"Baseline 2",IF(AND(A292&gt;=DATE(2016,6,23),A292&lt;=DATE(2016,7,6)),"Promo 3",IF(AND(A292&gt;=DATE(2016,6,9),A292&lt;=DATE(2016,6,22)),"Baseline 3","Other"))))))</f>
        <v>Other</v>
      </c>
    </row>
    <row r="293" customFormat="false" ht="15" hidden="false" customHeight="true" outlineLevel="0" collapsed="false">
      <c r="A293" s="12" t="n">
        <v>41929</v>
      </c>
      <c r="B293" s="13" t="n">
        <v>121057.861283503</v>
      </c>
      <c r="C293" s="13" t="n">
        <v>116949.791274211</v>
      </c>
      <c r="D293" s="14" t="n">
        <v>3293</v>
      </c>
      <c r="E293" s="15" t="n">
        <f aca="false">B293/D293</f>
        <v>36.7621807723969</v>
      </c>
      <c r="F293" s="15" t="n">
        <f aca="false">C293/D293</f>
        <v>35.514664826666</v>
      </c>
      <c r="G293" s="13" t="n">
        <f aca="false">B293-C293</f>
        <v>4108.070009292</v>
      </c>
      <c r="H293" s="16" t="n">
        <f aca="false">G293/B293</f>
        <v>0.0339347644649974</v>
      </c>
      <c r="I293" s="15" t="n">
        <f aca="false">G293/D293</f>
        <v>1.24751594573094</v>
      </c>
      <c r="J293" s="16" t="n">
        <f aca="false">I293/E293</f>
        <v>0.0339347644649974</v>
      </c>
      <c r="K293" s="17" t="str">
        <f aca="false">TEXT(A293,"dddd")</f>
        <v>Friday</v>
      </c>
      <c r="L293" s="17" t="str">
        <f aca="false">IF(AND(A293&gt;=DATE(2014,9,24),A293&lt;=DATE(2014,10,6)),"Promo 1",IF(AND(A293&gt;=DATE(2014,9,10),A293&lt;=DATE(2014,9,23)),"Baseline 1",IF(AND(A293&gt;=DATE(2015,9,23),A293&lt;=DATE(2015,10,6)),"Promo 2",IF(AND(A293&gt;=DATE(2015,9,9),A293&lt;=DATE(2015,9,22)),"Baseline 2",IF(AND(A293&gt;=DATE(2016,6,23),A293&lt;=DATE(2016,7,6)),"Promo 3",IF(AND(A293&gt;=DATE(2016,6,9),A293&lt;=DATE(2016,6,22)),"Baseline 3","Other"))))))</f>
        <v>Other</v>
      </c>
    </row>
    <row r="294" customFormat="false" ht="15" hidden="false" customHeight="true" outlineLevel="0" collapsed="false">
      <c r="A294" s="12" t="n">
        <v>41930</v>
      </c>
      <c r="B294" s="13" t="n">
        <v>169498.916385325</v>
      </c>
      <c r="C294" s="13" t="n">
        <v>164492.946632849</v>
      </c>
      <c r="D294" s="14" t="n">
        <v>4611</v>
      </c>
      <c r="E294" s="15" t="n">
        <f aca="false">B294/D294</f>
        <v>36.7596869193938</v>
      </c>
      <c r="F294" s="15" t="n">
        <f aca="false">C294/D294</f>
        <v>35.6740287644435</v>
      </c>
      <c r="G294" s="13" t="n">
        <f aca="false">B294-C294</f>
        <v>5005.969752476</v>
      </c>
      <c r="H294" s="16" t="n">
        <f aca="false">G294/B294</f>
        <v>0.0295339336630084</v>
      </c>
      <c r="I294" s="15" t="n">
        <f aca="false">G294/D294</f>
        <v>1.08565815495034</v>
      </c>
      <c r="J294" s="16" t="n">
        <f aca="false">I294/E294</f>
        <v>0.0295339336630084</v>
      </c>
      <c r="K294" s="17" t="str">
        <f aca="false">TEXT(A294,"dddd")</f>
        <v>Saturday</v>
      </c>
      <c r="L294" s="17" t="str">
        <f aca="false">IF(AND(A294&gt;=DATE(2014,9,24),A294&lt;=DATE(2014,10,6)),"Promo 1",IF(AND(A294&gt;=DATE(2014,9,10),A294&lt;=DATE(2014,9,23)),"Baseline 1",IF(AND(A294&gt;=DATE(2015,9,23),A294&lt;=DATE(2015,10,6)),"Promo 2",IF(AND(A294&gt;=DATE(2015,9,9),A294&lt;=DATE(2015,9,22)),"Baseline 2",IF(AND(A294&gt;=DATE(2016,6,23),A294&lt;=DATE(2016,7,6)),"Promo 3",IF(AND(A294&gt;=DATE(2016,6,9),A294&lt;=DATE(2016,6,22)),"Baseline 3","Other"))))))</f>
        <v>Other</v>
      </c>
    </row>
    <row r="295" customFormat="false" ht="15" hidden="false" customHeight="true" outlineLevel="0" collapsed="false">
      <c r="A295" s="12" t="n">
        <v>41931</v>
      </c>
      <c r="B295" s="13" t="n">
        <v>90692.375875502</v>
      </c>
      <c r="C295" s="13" t="n">
        <v>87911.2115832055</v>
      </c>
      <c r="D295" s="14" t="n">
        <v>2468</v>
      </c>
      <c r="E295" s="15" t="n">
        <f aca="false">B295/D295</f>
        <v>36.747315994936</v>
      </c>
      <c r="F295" s="15" t="n">
        <f aca="false">C295/D295</f>
        <v>35.6204260871983</v>
      </c>
      <c r="G295" s="13" t="n">
        <f aca="false">B295-C295</f>
        <v>2781.1642922965</v>
      </c>
      <c r="H295" s="16" t="n">
        <f aca="false">G295/B295</f>
        <v>0.0306659106176063</v>
      </c>
      <c r="I295" s="15" t="n">
        <f aca="false">G295/D295</f>
        <v>1.12688990773764</v>
      </c>
      <c r="J295" s="16" t="n">
        <f aca="false">I295/E295</f>
        <v>0.0306659106176063</v>
      </c>
      <c r="K295" s="17" t="str">
        <f aca="false">TEXT(A295,"dddd")</f>
        <v>Sunday</v>
      </c>
      <c r="L295" s="17" t="str">
        <f aca="false">IF(AND(A295&gt;=DATE(2014,9,24),A295&lt;=DATE(2014,10,6)),"Promo 1",IF(AND(A295&gt;=DATE(2014,9,10),A295&lt;=DATE(2014,9,23)),"Baseline 1",IF(AND(A295&gt;=DATE(2015,9,23),A295&lt;=DATE(2015,10,6)),"Promo 2",IF(AND(A295&gt;=DATE(2015,9,9),A295&lt;=DATE(2015,9,22)),"Baseline 2",IF(AND(A295&gt;=DATE(2016,6,23),A295&lt;=DATE(2016,7,6)),"Promo 3",IF(AND(A295&gt;=DATE(2016,6,9),A295&lt;=DATE(2016,6,22)),"Baseline 3","Other"))))))</f>
        <v>Other</v>
      </c>
    </row>
    <row r="296" customFormat="false" ht="15" hidden="false" customHeight="true" outlineLevel="0" collapsed="false">
      <c r="A296" s="12" t="n">
        <v>41932</v>
      </c>
      <c r="B296" s="13" t="n">
        <v>101723.915004092</v>
      </c>
      <c r="C296" s="13" t="n">
        <v>98870.8118771977</v>
      </c>
      <c r="D296" s="14" t="n">
        <v>2773</v>
      </c>
      <c r="E296" s="15" t="n">
        <f aca="false">B296/D296</f>
        <v>36.6837053747176</v>
      </c>
      <c r="F296" s="15" t="n">
        <f aca="false">C296/D296</f>
        <v>35.6548185637208</v>
      </c>
      <c r="G296" s="13" t="n">
        <f aca="false">B296-C296</f>
        <v>2853.1031268943</v>
      </c>
      <c r="H296" s="16" t="n">
        <f aca="false">G296/B296</f>
        <v>0.0280475159334905</v>
      </c>
      <c r="I296" s="15" t="n">
        <f aca="false">G296/D296</f>
        <v>1.02888681099686</v>
      </c>
      <c r="J296" s="16" t="n">
        <f aca="false">I296/E296</f>
        <v>0.0280475159334905</v>
      </c>
      <c r="K296" s="17" t="str">
        <f aca="false">TEXT(A296,"dddd")</f>
        <v>Monday</v>
      </c>
      <c r="L296" s="17" t="str">
        <f aca="false">IF(AND(A296&gt;=DATE(2014,9,24),A296&lt;=DATE(2014,10,6)),"Promo 1",IF(AND(A296&gt;=DATE(2014,9,10),A296&lt;=DATE(2014,9,23)),"Baseline 1",IF(AND(A296&gt;=DATE(2015,9,23),A296&lt;=DATE(2015,10,6)),"Promo 2",IF(AND(A296&gt;=DATE(2015,9,9),A296&lt;=DATE(2015,9,22)),"Baseline 2",IF(AND(A296&gt;=DATE(2016,6,23),A296&lt;=DATE(2016,7,6)),"Promo 3",IF(AND(A296&gt;=DATE(2016,6,9),A296&lt;=DATE(2016,6,22)),"Baseline 3","Other"))))))</f>
        <v>Other</v>
      </c>
    </row>
    <row r="297" customFormat="false" ht="15" hidden="false" customHeight="true" outlineLevel="0" collapsed="false">
      <c r="A297" s="12" t="n">
        <v>41933</v>
      </c>
      <c r="B297" s="13" t="n">
        <v>103395.691268742</v>
      </c>
      <c r="C297" s="13" t="n">
        <v>100424.155743323</v>
      </c>
      <c r="D297" s="14" t="n">
        <v>2815</v>
      </c>
      <c r="E297" s="15" t="n">
        <f aca="false">B297/D297</f>
        <v>36.7302633281499</v>
      </c>
      <c r="F297" s="15" t="n">
        <f aca="false">C297/D297</f>
        <v>35.6746556814647</v>
      </c>
      <c r="G297" s="13" t="n">
        <f aca="false">B297-C297</f>
        <v>2971.53552541899</v>
      </c>
      <c r="H297" s="16" t="n">
        <f aca="false">G297/B297</f>
        <v>0.0287394521856379</v>
      </c>
      <c r="I297" s="15" t="n">
        <f aca="false">G297/D297</f>
        <v>1.05560764668525</v>
      </c>
      <c r="J297" s="16" t="n">
        <f aca="false">I297/E297</f>
        <v>0.0287394521856379</v>
      </c>
      <c r="K297" s="17" t="str">
        <f aca="false">TEXT(A297,"dddd")</f>
        <v>Tuesday</v>
      </c>
      <c r="L297" s="17" t="str">
        <f aca="false">IF(AND(A297&gt;=DATE(2014,9,24),A297&lt;=DATE(2014,10,6)),"Promo 1",IF(AND(A297&gt;=DATE(2014,9,10),A297&lt;=DATE(2014,9,23)),"Baseline 1",IF(AND(A297&gt;=DATE(2015,9,23),A297&lt;=DATE(2015,10,6)),"Promo 2",IF(AND(A297&gt;=DATE(2015,9,9),A297&lt;=DATE(2015,9,22)),"Baseline 2",IF(AND(A297&gt;=DATE(2016,6,23),A297&lt;=DATE(2016,7,6)),"Promo 3",IF(AND(A297&gt;=DATE(2016,6,9),A297&lt;=DATE(2016,6,22)),"Baseline 3","Other"))))))</f>
        <v>Other</v>
      </c>
    </row>
    <row r="298" customFormat="false" ht="15" hidden="false" customHeight="true" outlineLevel="0" collapsed="false">
      <c r="A298" s="12" t="n">
        <v>41934</v>
      </c>
      <c r="B298" s="13" t="n">
        <v>99075.5990960218</v>
      </c>
      <c r="C298" s="13" t="n">
        <v>96511.7221575381</v>
      </c>
      <c r="D298" s="14" t="n">
        <v>2701</v>
      </c>
      <c r="E298" s="15" t="n">
        <f aca="false">B298/D298</f>
        <v>36.6810807463983</v>
      </c>
      <c r="F298" s="15" t="n">
        <f aca="false">C298/D298</f>
        <v>35.7318482626946</v>
      </c>
      <c r="G298" s="13" t="n">
        <f aca="false">B298-C298</f>
        <v>2563.87693848371</v>
      </c>
      <c r="H298" s="16" t="n">
        <f aca="false">G298/B298</f>
        <v>0.0258779857187526</v>
      </c>
      <c r="I298" s="15" t="n">
        <f aca="false">G298/D298</f>
        <v>0.949232483703705</v>
      </c>
      <c r="J298" s="16" t="n">
        <f aca="false">I298/E298</f>
        <v>0.0258779857187526</v>
      </c>
      <c r="K298" s="17" t="str">
        <f aca="false">TEXT(A298,"dddd")</f>
        <v>Wednesday</v>
      </c>
      <c r="L298" s="17" t="str">
        <f aca="false">IF(AND(A298&gt;=DATE(2014,9,24),A298&lt;=DATE(2014,10,6)),"Promo 1",IF(AND(A298&gt;=DATE(2014,9,10),A298&lt;=DATE(2014,9,23)),"Baseline 1",IF(AND(A298&gt;=DATE(2015,9,23),A298&lt;=DATE(2015,10,6)),"Promo 2",IF(AND(A298&gt;=DATE(2015,9,9),A298&lt;=DATE(2015,9,22)),"Baseline 2",IF(AND(A298&gt;=DATE(2016,6,23),A298&lt;=DATE(2016,7,6)),"Promo 3",IF(AND(A298&gt;=DATE(2016,6,9),A298&lt;=DATE(2016,6,22)),"Baseline 3","Other"))))))</f>
        <v>Other</v>
      </c>
    </row>
    <row r="299" customFormat="false" ht="15" hidden="false" customHeight="true" outlineLevel="0" collapsed="false">
      <c r="A299" s="12" t="n">
        <v>41935</v>
      </c>
      <c r="B299" s="13" t="n">
        <v>97476.1447195721</v>
      </c>
      <c r="C299" s="13" t="n">
        <v>94763.8425487659</v>
      </c>
      <c r="D299" s="14" t="n">
        <v>2651</v>
      </c>
      <c r="E299" s="15" t="n">
        <f aca="false">B299/D299</f>
        <v>36.7695755260551</v>
      </c>
      <c r="F299" s="15" t="n">
        <f aca="false">C299/D299</f>
        <v>35.7464513575126</v>
      </c>
      <c r="G299" s="13" t="n">
        <f aca="false">B299-C299</f>
        <v>2712.3021708062</v>
      </c>
      <c r="H299" s="16" t="n">
        <f aca="false">G299/B299</f>
        <v>0.027825291804566</v>
      </c>
      <c r="I299" s="15" t="n">
        <f aca="false">G299/D299</f>
        <v>1.02312416854251</v>
      </c>
      <c r="J299" s="16" t="n">
        <f aca="false">I299/E299</f>
        <v>0.027825291804566</v>
      </c>
      <c r="K299" s="17" t="str">
        <f aca="false">TEXT(A299,"dddd")</f>
        <v>Thursday</v>
      </c>
      <c r="L299" s="17" t="str">
        <f aca="false">IF(AND(A299&gt;=DATE(2014,9,24),A299&lt;=DATE(2014,10,6)),"Promo 1",IF(AND(A299&gt;=DATE(2014,9,10),A299&lt;=DATE(2014,9,23)),"Baseline 1",IF(AND(A299&gt;=DATE(2015,9,23),A299&lt;=DATE(2015,10,6)),"Promo 2",IF(AND(A299&gt;=DATE(2015,9,9),A299&lt;=DATE(2015,9,22)),"Baseline 2",IF(AND(A299&gt;=DATE(2016,6,23),A299&lt;=DATE(2016,7,6)),"Promo 3",IF(AND(A299&gt;=DATE(2016,6,9),A299&lt;=DATE(2016,6,22)),"Baseline 3","Other"))))))</f>
        <v>Other</v>
      </c>
    </row>
    <row r="300" customFormat="false" ht="15" hidden="false" customHeight="true" outlineLevel="0" collapsed="false">
      <c r="A300" s="12" t="n">
        <v>41936</v>
      </c>
      <c r="B300" s="13" t="n">
        <v>248974.652782796</v>
      </c>
      <c r="C300" s="13" t="n">
        <v>241961.143245303</v>
      </c>
      <c r="D300" s="14" t="n">
        <v>6781</v>
      </c>
      <c r="E300" s="15" t="n">
        <f aca="false">B300/D300</f>
        <v>36.7165097747819</v>
      </c>
      <c r="F300" s="15" t="n">
        <f aca="false">C300/D300</f>
        <v>35.6822213899577</v>
      </c>
      <c r="G300" s="13" t="n">
        <f aca="false">B300-C300</f>
        <v>7013.509537493</v>
      </c>
      <c r="H300" s="16" t="n">
        <f aca="false">G300/B300</f>
        <v>0.0281695725211495</v>
      </c>
      <c r="I300" s="15" t="n">
        <f aca="false">G300/D300</f>
        <v>1.03428838482421</v>
      </c>
      <c r="J300" s="16" t="n">
        <f aca="false">I300/E300</f>
        <v>0.0281695725211495</v>
      </c>
      <c r="K300" s="17" t="str">
        <f aca="false">TEXT(A300,"dddd")</f>
        <v>Friday</v>
      </c>
      <c r="L300" s="17" t="str">
        <f aca="false">IF(AND(A300&gt;=DATE(2014,9,24),A300&lt;=DATE(2014,10,6)),"Promo 1",IF(AND(A300&gt;=DATE(2014,9,10),A300&lt;=DATE(2014,9,23)),"Baseline 1",IF(AND(A300&gt;=DATE(2015,9,23),A300&lt;=DATE(2015,10,6)),"Promo 2",IF(AND(A300&gt;=DATE(2015,9,9),A300&lt;=DATE(2015,9,22)),"Baseline 2",IF(AND(A300&gt;=DATE(2016,6,23),A300&lt;=DATE(2016,7,6)),"Promo 3",IF(AND(A300&gt;=DATE(2016,6,9),A300&lt;=DATE(2016,6,22)),"Baseline 3","Other"))))))</f>
        <v>Other</v>
      </c>
    </row>
    <row r="301" customFormat="false" ht="15" hidden="false" customHeight="true" outlineLevel="0" collapsed="false">
      <c r="A301" s="12" t="n">
        <v>41937</v>
      </c>
      <c r="B301" s="13" t="n">
        <v>302721.6833004</v>
      </c>
      <c r="C301" s="13" t="n">
        <v>294129.671123119</v>
      </c>
      <c r="D301" s="14" t="n">
        <v>8249</v>
      </c>
      <c r="E301" s="15" t="n">
        <f aca="false">B301/D301</f>
        <v>36.6979856104255</v>
      </c>
      <c r="F301" s="15" t="n">
        <f aca="false">C301/D301</f>
        <v>35.6564033365401</v>
      </c>
      <c r="G301" s="13" t="n">
        <f aca="false">B301-C301</f>
        <v>8592.01217728097</v>
      </c>
      <c r="H301" s="16" t="n">
        <f aca="false">G301/B301</f>
        <v>0.0283825462504278</v>
      </c>
      <c r="I301" s="15" t="n">
        <f aca="false">G301/D301</f>
        <v>1.04158227388544</v>
      </c>
      <c r="J301" s="16" t="n">
        <f aca="false">I301/E301</f>
        <v>0.0283825462504278</v>
      </c>
      <c r="K301" s="17" t="str">
        <f aca="false">TEXT(A301,"dddd")</f>
        <v>Saturday</v>
      </c>
      <c r="L301" s="17" t="str">
        <f aca="false">IF(AND(A301&gt;=DATE(2014,9,24),A301&lt;=DATE(2014,10,6)),"Promo 1",IF(AND(A301&gt;=DATE(2014,9,10),A301&lt;=DATE(2014,9,23)),"Baseline 1",IF(AND(A301&gt;=DATE(2015,9,23),A301&lt;=DATE(2015,10,6)),"Promo 2",IF(AND(A301&gt;=DATE(2015,9,9),A301&lt;=DATE(2015,9,22)),"Baseline 2",IF(AND(A301&gt;=DATE(2016,6,23),A301&lt;=DATE(2016,7,6)),"Promo 3",IF(AND(A301&gt;=DATE(2016,6,9),A301&lt;=DATE(2016,6,22)),"Baseline 3","Other"))))))</f>
        <v>Other</v>
      </c>
    </row>
    <row r="302" customFormat="false" ht="15" hidden="false" customHeight="true" outlineLevel="0" collapsed="false">
      <c r="A302" s="12" t="n">
        <v>41938</v>
      </c>
      <c r="B302" s="13" t="n">
        <v>128520.727803954</v>
      </c>
      <c r="C302" s="13" t="n">
        <v>124739.233948688</v>
      </c>
      <c r="D302" s="14" t="n">
        <v>3502</v>
      </c>
      <c r="E302" s="15" t="n">
        <f aca="false">B302/D302</f>
        <v>36.6992369514432</v>
      </c>
      <c r="F302" s="15" t="n">
        <f aca="false">C302/D302</f>
        <v>35.6194271698138</v>
      </c>
      <c r="G302" s="13" t="n">
        <f aca="false">B302-C302</f>
        <v>3781.493855266</v>
      </c>
      <c r="H302" s="16" t="n">
        <f aca="false">G302/B302</f>
        <v>0.0294232216069793</v>
      </c>
      <c r="I302" s="15" t="n">
        <f aca="false">G302/D302</f>
        <v>1.07980978162936</v>
      </c>
      <c r="J302" s="16" t="n">
        <f aca="false">I302/E302</f>
        <v>0.0294232216069793</v>
      </c>
      <c r="K302" s="17" t="str">
        <f aca="false">TEXT(A302,"dddd")</f>
        <v>Sunday</v>
      </c>
      <c r="L302" s="17" t="str">
        <f aca="false">IF(AND(A302&gt;=DATE(2014,9,24),A302&lt;=DATE(2014,10,6)),"Promo 1",IF(AND(A302&gt;=DATE(2014,9,10),A302&lt;=DATE(2014,9,23)),"Baseline 1",IF(AND(A302&gt;=DATE(2015,9,23),A302&lt;=DATE(2015,10,6)),"Promo 2",IF(AND(A302&gt;=DATE(2015,9,9),A302&lt;=DATE(2015,9,22)),"Baseline 2",IF(AND(A302&gt;=DATE(2016,6,23),A302&lt;=DATE(2016,7,6)),"Promo 3",IF(AND(A302&gt;=DATE(2016,6,9),A302&lt;=DATE(2016,6,22)),"Baseline 3","Other"))))))</f>
        <v>Other</v>
      </c>
    </row>
    <row r="303" customFormat="false" ht="15" hidden="false" customHeight="true" outlineLevel="0" collapsed="false">
      <c r="A303" s="12" t="n">
        <v>41939</v>
      </c>
      <c r="B303" s="13" t="n">
        <v>145185.268336085</v>
      </c>
      <c r="C303" s="13" t="n">
        <v>140651.93717842</v>
      </c>
      <c r="D303" s="14" t="n">
        <v>3949</v>
      </c>
      <c r="E303" s="15" t="n">
        <f aca="false">B303/D303</f>
        <v>36.7650717488187</v>
      </c>
      <c r="F303" s="15" t="n">
        <f aca="false">C303/D303</f>
        <v>35.6171023495619</v>
      </c>
      <c r="G303" s="13" t="n">
        <f aca="false">B303-C303</f>
        <v>4533.331157665</v>
      </c>
      <c r="H303" s="16" t="n">
        <f aca="false">G303/B303</f>
        <v>0.031224456927482</v>
      </c>
      <c r="I303" s="15" t="n">
        <f aca="false">G303/D303</f>
        <v>1.14796939925677</v>
      </c>
      <c r="J303" s="16" t="n">
        <f aca="false">I303/E303</f>
        <v>0.031224456927482</v>
      </c>
      <c r="K303" s="17" t="str">
        <f aca="false">TEXT(A303,"dddd")</f>
        <v>Monday</v>
      </c>
      <c r="L303" s="17" t="str">
        <f aca="false">IF(AND(A303&gt;=DATE(2014,9,24),A303&lt;=DATE(2014,10,6)),"Promo 1",IF(AND(A303&gt;=DATE(2014,9,10),A303&lt;=DATE(2014,9,23)),"Baseline 1",IF(AND(A303&gt;=DATE(2015,9,23),A303&lt;=DATE(2015,10,6)),"Promo 2",IF(AND(A303&gt;=DATE(2015,9,9),A303&lt;=DATE(2015,9,22)),"Baseline 2",IF(AND(A303&gt;=DATE(2016,6,23),A303&lt;=DATE(2016,7,6)),"Promo 3",IF(AND(A303&gt;=DATE(2016,6,9),A303&lt;=DATE(2016,6,22)),"Baseline 3","Other"))))))</f>
        <v>Other</v>
      </c>
    </row>
    <row r="304" customFormat="false" ht="15" hidden="false" customHeight="true" outlineLevel="0" collapsed="false">
      <c r="A304" s="12" t="n">
        <v>41940</v>
      </c>
      <c r="B304" s="13" t="n">
        <v>89527.5566318617</v>
      </c>
      <c r="C304" s="13" t="n">
        <v>87067.0513189143</v>
      </c>
      <c r="D304" s="14" t="n">
        <v>2435</v>
      </c>
      <c r="E304" s="15" t="n">
        <f aca="false">B304/D304</f>
        <v>36.7669637091835</v>
      </c>
      <c r="F304" s="15" t="n">
        <f aca="false">C304/D304</f>
        <v>35.7564892480141</v>
      </c>
      <c r="G304" s="13" t="n">
        <f aca="false">B304-C304</f>
        <v>2460.50531294741</v>
      </c>
      <c r="H304" s="16" t="n">
        <f aca="false">G304/B304</f>
        <v>0.0274832175199982</v>
      </c>
      <c r="I304" s="15" t="n">
        <f aca="false">G304/D304</f>
        <v>1.01047446116937</v>
      </c>
      <c r="J304" s="16" t="n">
        <f aca="false">I304/E304</f>
        <v>0.0274832175199982</v>
      </c>
      <c r="K304" s="17" t="str">
        <f aca="false">TEXT(A304,"dddd")</f>
        <v>Tuesday</v>
      </c>
      <c r="L304" s="17" t="str">
        <f aca="false">IF(AND(A304&gt;=DATE(2014,9,24),A304&lt;=DATE(2014,10,6)),"Promo 1",IF(AND(A304&gt;=DATE(2014,9,10),A304&lt;=DATE(2014,9,23)),"Baseline 1",IF(AND(A304&gt;=DATE(2015,9,23),A304&lt;=DATE(2015,10,6)),"Promo 2",IF(AND(A304&gt;=DATE(2015,9,9),A304&lt;=DATE(2015,9,22)),"Baseline 2",IF(AND(A304&gt;=DATE(2016,6,23),A304&lt;=DATE(2016,7,6)),"Promo 3",IF(AND(A304&gt;=DATE(2016,6,9),A304&lt;=DATE(2016,6,22)),"Baseline 3","Other"))))))</f>
        <v>Other</v>
      </c>
    </row>
    <row r="305" customFormat="false" ht="15" hidden="false" customHeight="true" outlineLevel="0" collapsed="false">
      <c r="A305" s="12" t="n">
        <v>41941</v>
      </c>
      <c r="B305" s="13" t="n">
        <v>81991.8828414111</v>
      </c>
      <c r="C305" s="13" t="n">
        <v>80112.5480149883</v>
      </c>
      <c r="D305" s="14" t="n">
        <v>2232</v>
      </c>
      <c r="E305" s="15" t="n">
        <f aca="false">B305/D305</f>
        <v>36.7347145346824</v>
      </c>
      <c r="F305" s="15" t="n">
        <f aca="false">C305/D305</f>
        <v>35.892718644708</v>
      </c>
      <c r="G305" s="13" t="n">
        <f aca="false">B305-C305</f>
        <v>1879.33482642281</v>
      </c>
      <c r="H305" s="16" t="n">
        <f aca="false">G305/B305</f>
        <v>0.0229209863378528</v>
      </c>
      <c r="I305" s="15" t="n">
        <f aca="false">G305/D305</f>
        <v>0.841995889974378</v>
      </c>
      <c r="J305" s="16" t="n">
        <f aca="false">I305/E305</f>
        <v>0.0229209863378528</v>
      </c>
      <c r="K305" s="17" t="str">
        <f aca="false">TEXT(A305,"dddd")</f>
        <v>Wednesday</v>
      </c>
      <c r="L305" s="17" t="str">
        <f aca="false">IF(AND(A305&gt;=DATE(2014,9,24),A305&lt;=DATE(2014,10,6)),"Promo 1",IF(AND(A305&gt;=DATE(2014,9,10),A305&lt;=DATE(2014,9,23)),"Baseline 1",IF(AND(A305&gt;=DATE(2015,9,23),A305&lt;=DATE(2015,10,6)),"Promo 2",IF(AND(A305&gt;=DATE(2015,9,9),A305&lt;=DATE(2015,9,22)),"Baseline 2",IF(AND(A305&gt;=DATE(2016,6,23),A305&lt;=DATE(2016,7,6)),"Promo 3",IF(AND(A305&gt;=DATE(2016,6,9),A305&lt;=DATE(2016,6,22)),"Baseline 3","Other"))))))</f>
        <v>Other</v>
      </c>
    </row>
    <row r="306" customFormat="false" ht="15" hidden="false" customHeight="true" outlineLevel="0" collapsed="false">
      <c r="A306" s="12" t="n">
        <v>41942</v>
      </c>
      <c r="B306" s="13" t="n">
        <v>69704.4911125905</v>
      </c>
      <c r="C306" s="13" t="n">
        <v>68293.0963897961</v>
      </c>
      <c r="D306" s="14" t="n">
        <v>1898</v>
      </c>
      <c r="E306" s="15" t="n">
        <f aca="false">B306/D306</f>
        <v>36.7252324091625</v>
      </c>
      <c r="F306" s="15" t="n">
        <f aca="false">C306/D306</f>
        <v>35.9816103212835</v>
      </c>
      <c r="G306" s="13" t="n">
        <f aca="false">B306-C306</f>
        <v>1411.3947227944</v>
      </c>
      <c r="H306" s="16" t="n">
        <f aca="false">G306/B306</f>
        <v>0.0202482609121217</v>
      </c>
      <c r="I306" s="15" t="n">
        <f aca="false">G306/D306</f>
        <v>0.743622087879031</v>
      </c>
      <c r="J306" s="16" t="n">
        <f aca="false">I306/E306</f>
        <v>0.0202482609121217</v>
      </c>
      <c r="K306" s="17" t="str">
        <f aca="false">TEXT(A306,"dddd")</f>
        <v>Thursday</v>
      </c>
      <c r="L306" s="17" t="str">
        <f aca="false">IF(AND(A306&gt;=DATE(2014,9,24),A306&lt;=DATE(2014,10,6)),"Promo 1",IF(AND(A306&gt;=DATE(2014,9,10),A306&lt;=DATE(2014,9,23)),"Baseline 1",IF(AND(A306&gt;=DATE(2015,9,23),A306&lt;=DATE(2015,10,6)),"Promo 2",IF(AND(A306&gt;=DATE(2015,9,9),A306&lt;=DATE(2015,9,22)),"Baseline 2",IF(AND(A306&gt;=DATE(2016,6,23),A306&lt;=DATE(2016,7,6)),"Promo 3",IF(AND(A306&gt;=DATE(2016,6,9),A306&lt;=DATE(2016,6,22)),"Baseline 3","Other"))))))</f>
        <v>Other</v>
      </c>
    </row>
    <row r="307" customFormat="false" ht="15" hidden="false" customHeight="true" outlineLevel="0" collapsed="false">
      <c r="A307" s="12" t="n">
        <v>41943</v>
      </c>
      <c r="B307" s="13" t="n">
        <v>166652.394819224</v>
      </c>
      <c r="C307" s="13" t="n">
        <v>163319.716470677</v>
      </c>
      <c r="D307" s="14" t="n">
        <v>4537</v>
      </c>
      <c r="E307" s="15" t="n">
        <f aca="false">B307/D307</f>
        <v>36.731848097691</v>
      </c>
      <c r="F307" s="15" t="n">
        <f aca="false">C307/D307</f>
        <v>35.9972925877622</v>
      </c>
      <c r="G307" s="13" t="n">
        <f aca="false">B307-C307</f>
        <v>3332.67834854699</v>
      </c>
      <c r="H307" s="16" t="n">
        <f aca="false">G307/B307</f>
        <v>0.0199977825230901</v>
      </c>
      <c r="I307" s="15" t="n">
        <f aca="false">G307/D307</f>
        <v>0.734555509928806</v>
      </c>
      <c r="J307" s="16" t="n">
        <f aca="false">I307/E307</f>
        <v>0.0199977825230901</v>
      </c>
      <c r="K307" s="17" t="str">
        <f aca="false">TEXT(A307,"dddd")</f>
        <v>Friday</v>
      </c>
      <c r="L307" s="17" t="str">
        <f aca="false">IF(AND(A307&gt;=DATE(2014,9,24),A307&lt;=DATE(2014,10,6)),"Promo 1",IF(AND(A307&gt;=DATE(2014,9,10),A307&lt;=DATE(2014,9,23)),"Baseline 1",IF(AND(A307&gt;=DATE(2015,9,23),A307&lt;=DATE(2015,10,6)),"Promo 2",IF(AND(A307&gt;=DATE(2015,9,9),A307&lt;=DATE(2015,9,22)),"Baseline 2",IF(AND(A307&gt;=DATE(2016,6,23),A307&lt;=DATE(2016,7,6)),"Promo 3",IF(AND(A307&gt;=DATE(2016,6,9),A307&lt;=DATE(2016,6,22)),"Baseline 3","Other"))))))</f>
        <v>Other</v>
      </c>
    </row>
    <row r="308" customFormat="false" ht="15" hidden="false" customHeight="true" outlineLevel="0" collapsed="false">
      <c r="A308" s="12" t="n">
        <v>41944</v>
      </c>
      <c r="B308" s="13" t="n">
        <v>247453.102185248</v>
      </c>
      <c r="C308" s="13" t="n">
        <v>242638.801197468</v>
      </c>
      <c r="D308" s="14" t="n">
        <v>6730</v>
      </c>
      <c r="E308" s="15" t="n">
        <f aca="false">B308/D308</f>
        <v>36.7686630290116</v>
      </c>
      <c r="F308" s="15" t="n">
        <f aca="false">C308/D308</f>
        <v>36.0533136994752</v>
      </c>
      <c r="G308" s="13" t="n">
        <f aca="false">B308-C308</f>
        <v>4814.30098777998</v>
      </c>
      <c r="H308" s="16" t="n">
        <f aca="false">G308/B308</f>
        <v>0.0194554076924681</v>
      </c>
      <c r="I308" s="15" t="n">
        <f aca="false">G308/D308</f>
        <v>0.715349329536401</v>
      </c>
      <c r="J308" s="16" t="n">
        <f aca="false">I308/E308</f>
        <v>0.0194554076924681</v>
      </c>
      <c r="K308" s="17" t="str">
        <f aca="false">TEXT(A308,"dddd")</f>
        <v>Saturday</v>
      </c>
      <c r="L308" s="17" t="str">
        <f aca="false">IF(AND(A308&gt;=DATE(2014,9,24),A308&lt;=DATE(2014,10,6)),"Promo 1",IF(AND(A308&gt;=DATE(2014,9,10),A308&lt;=DATE(2014,9,23)),"Baseline 1",IF(AND(A308&gt;=DATE(2015,9,23),A308&lt;=DATE(2015,10,6)),"Promo 2",IF(AND(A308&gt;=DATE(2015,9,9),A308&lt;=DATE(2015,9,22)),"Baseline 2",IF(AND(A308&gt;=DATE(2016,6,23),A308&lt;=DATE(2016,7,6)),"Promo 3",IF(AND(A308&gt;=DATE(2016,6,9),A308&lt;=DATE(2016,6,22)),"Baseline 3","Other"))))))</f>
        <v>Other</v>
      </c>
    </row>
    <row r="309" customFormat="false" ht="15" hidden="false" customHeight="true" outlineLevel="0" collapsed="false">
      <c r="A309" s="12" t="n">
        <v>41945</v>
      </c>
      <c r="B309" s="13" t="n">
        <v>148476.181209175</v>
      </c>
      <c r="C309" s="13" t="n">
        <v>145646.336801694</v>
      </c>
      <c r="D309" s="14" t="n">
        <v>4038</v>
      </c>
      <c r="E309" s="15" t="n">
        <f aca="false">B309/D309</f>
        <v>36.7697328403108</v>
      </c>
      <c r="F309" s="15" t="n">
        <f aca="false">C309/D309</f>
        <v>36.0689293713953</v>
      </c>
      <c r="G309" s="13" t="n">
        <f aca="false">B309-C309</f>
        <v>2829.844407481</v>
      </c>
      <c r="H309" s="16" t="n">
        <f aca="false">G309/B309</f>
        <v>0.0190592483214144</v>
      </c>
      <c r="I309" s="15" t="n">
        <f aca="false">G309/D309</f>
        <v>0.700803468915551</v>
      </c>
      <c r="J309" s="16" t="n">
        <f aca="false">I309/E309</f>
        <v>0.0190592483214144</v>
      </c>
      <c r="K309" s="17" t="str">
        <f aca="false">TEXT(A309,"dddd")</f>
        <v>Sunday</v>
      </c>
      <c r="L309" s="17" t="str">
        <f aca="false">IF(AND(A309&gt;=DATE(2014,9,24),A309&lt;=DATE(2014,10,6)),"Promo 1",IF(AND(A309&gt;=DATE(2014,9,10),A309&lt;=DATE(2014,9,23)),"Baseline 1",IF(AND(A309&gt;=DATE(2015,9,23),A309&lt;=DATE(2015,10,6)),"Promo 2",IF(AND(A309&gt;=DATE(2015,9,9),A309&lt;=DATE(2015,9,22)),"Baseline 2",IF(AND(A309&gt;=DATE(2016,6,23),A309&lt;=DATE(2016,7,6)),"Promo 3",IF(AND(A309&gt;=DATE(2016,6,9),A309&lt;=DATE(2016,6,22)),"Baseline 3","Other"))))))</f>
        <v>Other</v>
      </c>
    </row>
    <row r="310" customFormat="false" ht="15" hidden="false" customHeight="true" outlineLevel="0" collapsed="false">
      <c r="A310" s="12" t="n">
        <v>41946</v>
      </c>
      <c r="B310" s="13" t="n">
        <v>205368.922634401</v>
      </c>
      <c r="C310" s="13" t="n">
        <v>201281.239025563</v>
      </c>
      <c r="D310" s="14" t="n">
        <v>5581</v>
      </c>
      <c r="E310" s="15" t="n">
        <f aca="false">B310/D310</f>
        <v>36.7978718212509</v>
      </c>
      <c r="F310" s="15" t="n">
        <f aca="false">C310/D310</f>
        <v>36.0654432943134</v>
      </c>
      <c r="G310" s="13" t="n">
        <f aca="false">B310-C310</f>
        <v>4087.68360883801</v>
      </c>
      <c r="H310" s="16" t="n">
        <f aca="false">G310/B310</f>
        <v>0.0199041001744696</v>
      </c>
      <c r="I310" s="15" t="n">
        <f aca="false">G310/D310</f>
        <v>0.732428526937468</v>
      </c>
      <c r="J310" s="16" t="n">
        <f aca="false">I310/E310</f>
        <v>0.0199041001744696</v>
      </c>
      <c r="K310" s="17" t="str">
        <f aca="false">TEXT(A310,"dddd")</f>
        <v>Monday</v>
      </c>
      <c r="L310" s="17" t="str">
        <f aca="false">IF(AND(A310&gt;=DATE(2014,9,24),A310&lt;=DATE(2014,10,6)),"Promo 1",IF(AND(A310&gt;=DATE(2014,9,10),A310&lt;=DATE(2014,9,23)),"Baseline 1",IF(AND(A310&gt;=DATE(2015,9,23),A310&lt;=DATE(2015,10,6)),"Promo 2",IF(AND(A310&gt;=DATE(2015,9,9),A310&lt;=DATE(2015,9,22)),"Baseline 2",IF(AND(A310&gt;=DATE(2016,6,23),A310&lt;=DATE(2016,7,6)),"Promo 3",IF(AND(A310&gt;=DATE(2016,6,9),A310&lt;=DATE(2016,6,22)),"Baseline 3","Other"))))))</f>
        <v>Other</v>
      </c>
    </row>
    <row r="311" customFormat="false" ht="15" hidden="false" customHeight="true" outlineLevel="0" collapsed="false">
      <c r="A311" s="12" t="n">
        <v>41947</v>
      </c>
      <c r="B311" s="13" t="n">
        <v>99244.6818460492</v>
      </c>
      <c r="C311" s="13" t="n">
        <v>90949.4422522011</v>
      </c>
      <c r="D311" s="14" t="n">
        <v>2519</v>
      </c>
      <c r="E311" s="15" t="n">
        <f aca="false">B311/D311</f>
        <v>39.3984445597655</v>
      </c>
      <c r="F311" s="15" t="n">
        <f aca="false">C311/D311</f>
        <v>36.105376042954</v>
      </c>
      <c r="G311" s="13" t="n">
        <f aca="false">B311-C311</f>
        <v>8295.23959384811</v>
      </c>
      <c r="H311" s="16" t="n">
        <f aca="false">G311/B311</f>
        <v>0.0835837189413926</v>
      </c>
      <c r="I311" s="15" t="n">
        <f aca="false">G311/D311</f>
        <v>3.29306851681148</v>
      </c>
      <c r="J311" s="16" t="n">
        <f aca="false">I311/E311</f>
        <v>0.0835837189413926</v>
      </c>
      <c r="K311" s="17" t="str">
        <f aca="false">TEXT(A311,"dddd")</f>
        <v>Tuesday</v>
      </c>
      <c r="L311" s="17" t="str">
        <f aca="false">IF(AND(A311&gt;=DATE(2014,9,24),A311&lt;=DATE(2014,10,6)),"Promo 1",IF(AND(A311&gt;=DATE(2014,9,10),A311&lt;=DATE(2014,9,23)),"Baseline 1",IF(AND(A311&gt;=DATE(2015,9,23),A311&lt;=DATE(2015,10,6)),"Promo 2",IF(AND(A311&gt;=DATE(2015,9,9),A311&lt;=DATE(2015,9,22)),"Baseline 2",IF(AND(A311&gt;=DATE(2016,6,23),A311&lt;=DATE(2016,7,6)),"Promo 3",IF(AND(A311&gt;=DATE(2016,6,9),A311&lt;=DATE(2016,6,22)),"Baseline 3","Other"))))))</f>
        <v>Other</v>
      </c>
    </row>
    <row r="312" customFormat="false" ht="15" hidden="false" customHeight="true" outlineLevel="0" collapsed="false">
      <c r="A312" s="12" t="n">
        <v>41948</v>
      </c>
      <c r="B312" s="13" t="n">
        <v>72756.8631000705</v>
      </c>
      <c r="C312" s="13" t="n">
        <v>67872.7743268852</v>
      </c>
      <c r="D312" s="14" t="n">
        <v>1847</v>
      </c>
      <c r="E312" s="15" t="n">
        <f aca="false">B312/D312</f>
        <v>39.3919128857989</v>
      </c>
      <c r="F312" s="15" t="n">
        <f aca="false">C312/D312</f>
        <v>36.7475767877018</v>
      </c>
      <c r="G312" s="13" t="n">
        <f aca="false">B312-C312</f>
        <v>4884.0887731853</v>
      </c>
      <c r="H312" s="16" t="n">
        <f aca="false">G312/B312</f>
        <v>0.0671289080518449</v>
      </c>
      <c r="I312" s="15" t="n">
        <f aca="false">G312/D312</f>
        <v>2.64433609809708</v>
      </c>
      <c r="J312" s="16" t="n">
        <f aca="false">I312/E312</f>
        <v>0.0671289080518449</v>
      </c>
      <c r="K312" s="17" t="str">
        <f aca="false">TEXT(A312,"dddd")</f>
        <v>Wednesday</v>
      </c>
      <c r="L312" s="17" t="str">
        <f aca="false">IF(AND(A312&gt;=DATE(2014,9,24),A312&lt;=DATE(2014,10,6)),"Promo 1",IF(AND(A312&gt;=DATE(2014,9,10),A312&lt;=DATE(2014,9,23)),"Baseline 1",IF(AND(A312&gt;=DATE(2015,9,23),A312&lt;=DATE(2015,10,6)),"Promo 2",IF(AND(A312&gt;=DATE(2015,9,9),A312&lt;=DATE(2015,9,22)),"Baseline 2",IF(AND(A312&gt;=DATE(2016,6,23),A312&lt;=DATE(2016,7,6)),"Promo 3",IF(AND(A312&gt;=DATE(2016,6,9),A312&lt;=DATE(2016,6,22)),"Baseline 3","Other"))))))</f>
        <v>Other</v>
      </c>
    </row>
    <row r="313" customFormat="false" ht="15" hidden="false" customHeight="true" outlineLevel="0" collapsed="false">
      <c r="A313" s="12" t="n">
        <v>41949</v>
      </c>
      <c r="B313" s="13" t="n">
        <v>86867.4580805951</v>
      </c>
      <c r="C313" s="13" t="n">
        <v>84486.0860860636</v>
      </c>
      <c r="D313" s="14" t="n">
        <v>2309</v>
      </c>
      <c r="E313" s="15" t="n">
        <f aca="false">B313/D313</f>
        <v>37.6212464619295</v>
      </c>
      <c r="F313" s="15" t="n">
        <f aca="false">C313/D313</f>
        <v>36.5899030255797</v>
      </c>
      <c r="G313" s="13" t="n">
        <f aca="false">B313-C313</f>
        <v>2381.3719945315</v>
      </c>
      <c r="H313" s="16" t="n">
        <f aca="false">G313/B313</f>
        <v>0.0274138560877662</v>
      </c>
      <c r="I313" s="15" t="n">
        <f aca="false">G313/D313</f>
        <v>1.03134343634972</v>
      </c>
      <c r="J313" s="16" t="n">
        <f aca="false">I313/E313</f>
        <v>0.0274138560877662</v>
      </c>
      <c r="K313" s="17" t="str">
        <f aca="false">TEXT(A313,"dddd")</f>
        <v>Thursday</v>
      </c>
      <c r="L313" s="17" t="str">
        <f aca="false">IF(AND(A313&gt;=DATE(2014,9,24),A313&lt;=DATE(2014,10,6)),"Promo 1",IF(AND(A313&gt;=DATE(2014,9,10),A313&lt;=DATE(2014,9,23)),"Baseline 1",IF(AND(A313&gt;=DATE(2015,9,23),A313&lt;=DATE(2015,10,6)),"Promo 2",IF(AND(A313&gt;=DATE(2015,9,9),A313&lt;=DATE(2015,9,22)),"Baseline 2",IF(AND(A313&gt;=DATE(2016,6,23),A313&lt;=DATE(2016,7,6)),"Promo 3",IF(AND(A313&gt;=DATE(2016,6,9),A313&lt;=DATE(2016,6,22)),"Baseline 3","Other"))))))</f>
        <v>Other</v>
      </c>
    </row>
    <row r="314" customFormat="false" ht="15" hidden="false" customHeight="true" outlineLevel="0" collapsed="false">
      <c r="A314" s="12" t="n">
        <v>41950</v>
      </c>
      <c r="B314" s="13" t="n">
        <v>140167.803862205</v>
      </c>
      <c r="C314" s="13" t="n">
        <v>136539.203296447</v>
      </c>
      <c r="D314" s="14" t="n">
        <v>3722</v>
      </c>
      <c r="E314" s="15" t="n">
        <f aca="false">B314/D314</f>
        <v>37.6592702477714</v>
      </c>
      <c r="F314" s="15" t="n">
        <f aca="false">C314/D314</f>
        <v>36.6843641312324</v>
      </c>
      <c r="G314" s="13" t="n">
        <f aca="false">B314-C314</f>
        <v>3628.60056575801</v>
      </c>
      <c r="H314" s="16" t="n">
        <f aca="false">G314/B314</f>
        <v>0.0258875466817272</v>
      </c>
      <c r="I314" s="15" t="n">
        <f aca="false">G314/D314</f>
        <v>0.97490611653896</v>
      </c>
      <c r="J314" s="16" t="n">
        <f aca="false">I314/E314</f>
        <v>0.0258875466817272</v>
      </c>
      <c r="K314" s="17" t="str">
        <f aca="false">TEXT(A314,"dddd")</f>
        <v>Friday</v>
      </c>
      <c r="L314" s="17" t="str">
        <f aca="false">IF(AND(A314&gt;=DATE(2014,9,24),A314&lt;=DATE(2014,10,6)),"Promo 1",IF(AND(A314&gt;=DATE(2014,9,10),A314&lt;=DATE(2014,9,23)),"Baseline 1",IF(AND(A314&gt;=DATE(2015,9,23),A314&lt;=DATE(2015,10,6)),"Promo 2",IF(AND(A314&gt;=DATE(2015,9,9),A314&lt;=DATE(2015,9,22)),"Baseline 2",IF(AND(A314&gt;=DATE(2016,6,23),A314&lt;=DATE(2016,7,6)),"Promo 3",IF(AND(A314&gt;=DATE(2016,6,9),A314&lt;=DATE(2016,6,22)),"Baseline 3","Other"))))))</f>
        <v>Other</v>
      </c>
    </row>
    <row r="315" customFormat="false" ht="15" hidden="false" customHeight="true" outlineLevel="0" collapsed="false">
      <c r="A315" s="12" t="n">
        <v>41951</v>
      </c>
      <c r="B315" s="13" t="n">
        <v>160727.302782979</v>
      </c>
      <c r="C315" s="13" t="n">
        <v>156700.824995732</v>
      </c>
      <c r="D315" s="14" t="n">
        <v>4268</v>
      </c>
      <c r="E315" s="15" t="n">
        <f aca="false">B315/D315</f>
        <v>37.6586932481207</v>
      </c>
      <c r="F315" s="15" t="n">
        <f aca="false">C315/D315</f>
        <v>36.7152823326457</v>
      </c>
      <c r="G315" s="13" t="n">
        <f aca="false">B315-C315</f>
        <v>4026.47778724702</v>
      </c>
      <c r="H315" s="16" t="n">
        <f aca="false">G315/B315</f>
        <v>0.0250516105075423</v>
      </c>
      <c r="I315" s="15" t="n">
        <f aca="false">G315/D315</f>
        <v>0.943410915474933</v>
      </c>
      <c r="J315" s="16" t="n">
        <f aca="false">I315/E315</f>
        <v>0.0250516105075423</v>
      </c>
      <c r="K315" s="17" t="str">
        <f aca="false">TEXT(A315,"dddd")</f>
        <v>Saturday</v>
      </c>
      <c r="L315" s="17" t="str">
        <f aca="false">IF(AND(A315&gt;=DATE(2014,9,24),A315&lt;=DATE(2014,10,6)),"Promo 1",IF(AND(A315&gt;=DATE(2014,9,10),A315&lt;=DATE(2014,9,23)),"Baseline 1",IF(AND(A315&gt;=DATE(2015,9,23),A315&lt;=DATE(2015,10,6)),"Promo 2",IF(AND(A315&gt;=DATE(2015,9,9),A315&lt;=DATE(2015,9,22)),"Baseline 2",IF(AND(A315&gt;=DATE(2016,6,23),A315&lt;=DATE(2016,7,6)),"Promo 3",IF(AND(A315&gt;=DATE(2016,6,9),A315&lt;=DATE(2016,6,22)),"Baseline 3","Other"))))))</f>
        <v>Other</v>
      </c>
    </row>
    <row r="316" customFormat="false" ht="15" hidden="false" customHeight="true" outlineLevel="0" collapsed="false">
      <c r="A316" s="12" t="n">
        <v>41952</v>
      </c>
      <c r="B316" s="13" t="n">
        <v>74115.6287764455</v>
      </c>
      <c r="C316" s="13" t="n">
        <v>71994.3463936532</v>
      </c>
      <c r="D316" s="14" t="n">
        <v>1968</v>
      </c>
      <c r="E316" s="15" t="n">
        <f aca="false">B316/D316</f>
        <v>37.6603804758361</v>
      </c>
      <c r="F316" s="15" t="n">
        <f aca="false">C316/D316</f>
        <v>36.5824930862059</v>
      </c>
      <c r="G316" s="13" t="n">
        <f aca="false">B316-C316</f>
        <v>2121.2823827923</v>
      </c>
      <c r="H316" s="16" t="n">
        <f aca="false">G316/B316</f>
        <v>0.0286212559727545</v>
      </c>
      <c r="I316" s="15" t="n">
        <f aca="false">G316/D316</f>
        <v>1.07788738963023</v>
      </c>
      <c r="J316" s="16" t="n">
        <f aca="false">I316/E316</f>
        <v>0.0286212559727545</v>
      </c>
      <c r="K316" s="17" t="str">
        <f aca="false">TEXT(A316,"dddd")</f>
        <v>Sunday</v>
      </c>
      <c r="L316" s="17" t="str">
        <f aca="false">IF(AND(A316&gt;=DATE(2014,9,24),A316&lt;=DATE(2014,10,6)),"Promo 1",IF(AND(A316&gt;=DATE(2014,9,10),A316&lt;=DATE(2014,9,23)),"Baseline 1",IF(AND(A316&gt;=DATE(2015,9,23),A316&lt;=DATE(2015,10,6)),"Promo 2",IF(AND(A316&gt;=DATE(2015,9,9),A316&lt;=DATE(2015,9,22)),"Baseline 2",IF(AND(A316&gt;=DATE(2016,6,23),A316&lt;=DATE(2016,7,6)),"Promo 3",IF(AND(A316&gt;=DATE(2016,6,9),A316&lt;=DATE(2016,6,22)),"Baseline 3","Other"))))))</f>
        <v>Other</v>
      </c>
    </row>
    <row r="317" customFormat="false" ht="15" hidden="false" customHeight="true" outlineLevel="0" collapsed="false">
      <c r="A317" s="12" t="n">
        <v>41953</v>
      </c>
      <c r="B317" s="13" t="n">
        <v>76103.2915165355</v>
      </c>
      <c r="C317" s="13" t="n">
        <v>73967.6056944314</v>
      </c>
      <c r="D317" s="14" t="n">
        <v>2016</v>
      </c>
      <c r="E317" s="15" t="n">
        <f aca="false">B317/D317</f>
        <v>37.7496485697101</v>
      </c>
      <c r="F317" s="15" t="n">
        <f aca="false">C317/D317</f>
        <v>36.6902806023965</v>
      </c>
      <c r="G317" s="13" t="n">
        <f aca="false">B317-C317</f>
        <v>2135.68582210409</v>
      </c>
      <c r="H317" s="16" t="n">
        <f aca="false">G317/B317</f>
        <v>0.0280629888608702</v>
      </c>
      <c r="I317" s="15" t="n">
        <f aca="false">G317/D317</f>
        <v>1.05936796731354</v>
      </c>
      <c r="J317" s="16" t="n">
        <f aca="false">I317/E317</f>
        <v>0.0280629888608701</v>
      </c>
      <c r="K317" s="17" t="str">
        <f aca="false">TEXT(A317,"dddd")</f>
        <v>Monday</v>
      </c>
      <c r="L317" s="17" t="str">
        <f aca="false">IF(AND(A317&gt;=DATE(2014,9,24),A317&lt;=DATE(2014,10,6)),"Promo 1",IF(AND(A317&gt;=DATE(2014,9,10),A317&lt;=DATE(2014,9,23)),"Baseline 1",IF(AND(A317&gt;=DATE(2015,9,23),A317&lt;=DATE(2015,10,6)),"Promo 2",IF(AND(A317&gt;=DATE(2015,9,9),A317&lt;=DATE(2015,9,22)),"Baseline 2",IF(AND(A317&gt;=DATE(2016,6,23),A317&lt;=DATE(2016,7,6)),"Promo 3",IF(AND(A317&gt;=DATE(2016,6,9),A317&lt;=DATE(2016,6,22)),"Baseline 3","Other"))))))</f>
        <v>Other</v>
      </c>
    </row>
    <row r="318" customFormat="false" ht="15" hidden="false" customHeight="true" outlineLevel="0" collapsed="false">
      <c r="A318" s="12" t="n">
        <v>41954</v>
      </c>
      <c r="B318" s="13" t="n">
        <v>56303.3665745804</v>
      </c>
      <c r="C318" s="13" t="n">
        <v>54996.8666075907</v>
      </c>
      <c r="D318" s="14" t="n">
        <v>1497</v>
      </c>
      <c r="E318" s="15" t="n">
        <f aca="false">B318/D318</f>
        <v>37.610799315017</v>
      </c>
      <c r="F318" s="15" t="n">
        <f aca="false">C318/D318</f>
        <v>36.738053846086</v>
      </c>
      <c r="G318" s="13" t="n">
        <f aca="false">B318-C318</f>
        <v>1306.4999669897</v>
      </c>
      <c r="H318" s="16" t="n">
        <f aca="false">G318/B318</f>
        <v>0.0232046509201024</v>
      </c>
      <c r="I318" s="15" t="n">
        <f aca="false">G318/D318</f>
        <v>0.872745468930996</v>
      </c>
      <c r="J318" s="16" t="n">
        <f aca="false">I318/E318</f>
        <v>0.0232046509201024</v>
      </c>
      <c r="K318" s="17" t="str">
        <f aca="false">TEXT(A318,"dddd")</f>
        <v>Tuesday</v>
      </c>
      <c r="L318" s="17" t="str">
        <f aca="false">IF(AND(A318&gt;=DATE(2014,9,24),A318&lt;=DATE(2014,10,6)),"Promo 1",IF(AND(A318&gt;=DATE(2014,9,10),A318&lt;=DATE(2014,9,23)),"Baseline 1",IF(AND(A318&gt;=DATE(2015,9,23),A318&lt;=DATE(2015,10,6)),"Promo 2",IF(AND(A318&gt;=DATE(2015,9,9),A318&lt;=DATE(2015,9,22)),"Baseline 2",IF(AND(A318&gt;=DATE(2016,6,23),A318&lt;=DATE(2016,7,6)),"Promo 3",IF(AND(A318&gt;=DATE(2016,6,9),A318&lt;=DATE(2016,6,22)),"Baseline 3","Other"))))))</f>
        <v>Other</v>
      </c>
    </row>
    <row r="319" customFormat="false" ht="15" hidden="false" customHeight="true" outlineLevel="0" collapsed="false">
      <c r="A319" s="12" t="n">
        <v>41955</v>
      </c>
      <c r="B319" s="13" t="n">
        <v>49436.8158645204</v>
      </c>
      <c r="C319" s="13" t="n">
        <v>48289.8922760948</v>
      </c>
      <c r="D319" s="14" t="n">
        <v>1314</v>
      </c>
      <c r="E319" s="15" t="n">
        <f aca="false">B319/D319</f>
        <v>37.6231475376868</v>
      </c>
      <c r="F319" s="15" t="n">
        <f aca="false">C319/D319</f>
        <v>36.7502985358408</v>
      </c>
      <c r="G319" s="13" t="n">
        <f aca="false">B319-C319</f>
        <v>1146.92358842561</v>
      </c>
      <c r="H319" s="16" t="n">
        <f aca="false">G319/B319</f>
        <v>0.0231997868060253</v>
      </c>
      <c r="I319" s="15" t="n">
        <f aca="false">G319/D319</f>
        <v>0.87284900184597</v>
      </c>
      <c r="J319" s="16" t="n">
        <f aca="false">I319/E319</f>
        <v>0.0231997868060253</v>
      </c>
      <c r="K319" s="17" t="str">
        <f aca="false">TEXT(A319,"dddd")</f>
        <v>Wednesday</v>
      </c>
      <c r="L319" s="17" t="str">
        <f aca="false">IF(AND(A319&gt;=DATE(2014,9,24),A319&lt;=DATE(2014,10,6)),"Promo 1",IF(AND(A319&gt;=DATE(2014,9,10),A319&lt;=DATE(2014,9,23)),"Baseline 1",IF(AND(A319&gt;=DATE(2015,9,23),A319&lt;=DATE(2015,10,6)),"Promo 2",IF(AND(A319&gt;=DATE(2015,9,9),A319&lt;=DATE(2015,9,22)),"Baseline 2",IF(AND(A319&gt;=DATE(2016,6,23),A319&lt;=DATE(2016,7,6)),"Promo 3",IF(AND(A319&gt;=DATE(2016,6,9),A319&lt;=DATE(2016,6,22)),"Baseline 3","Other"))))))</f>
        <v>Other</v>
      </c>
    </row>
    <row r="320" customFormat="false" ht="15" hidden="false" customHeight="true" outlineLevel="0" collapsed="false">
      <c r="A320" s="12" t="n">
        <v>41956</v>
      </c>
      <c r="B320" s="13" t="n">
        <v>55033.1224039804</v>
      </c>
      <c r="C320" s="13" t="n">
        <v>53997.2188731076</v>
      </c>
      <c r="D320" s="14" t="n">
        <v>1466</v>
      </c>
      <c r="E320" s="15" t="n">
        <f aca="false">B320/D320</f>
        <v>37.5396469331381</v>
      </c>
      <c r="F320" s="15" t="n">
        <f aca="false">C320/D320</f>
        <v>36.833027880701</v>
      </c>
      <c r="G320" s="13" t="n">
        <f aca="false">B320-C320</f>
        <v>1035.9035308728</v>
      </c>
      <c r="H320" s="16" t="n">
        <f aca="false">G320/B320</f>
        <v>0.0188232737962525</v>
      </c>
      <c r="I320" s="15" t="n">
        <f aca="false">G320/D320</f>
        <v>0.706619052437106</v>
      </c>
      <c r="J320" s="16" t="n">
        <f aca="false">I320/E320</f>
        <v>0.0188232737962525</v>
      </c>
      <c r="K320" s="17" t="str">
        <f aca="false">TEXT(A320,"dddd")</f>
        <v>Thursday</v>
      </c>
      <c r="L320" s="17" t="str">
        <f aca="false">IF(AND(A320&gt;=DATE(2014,9,24),A320&lt;=DATE(2014,10,6)),"Promo 1",IF(AND(A320&gt;=DATE(2014,9,10),A320&lt;=DATE(2014,9,23)),"Baseline 1",IF(AND(A320&gt;=DATE(2015,9,23),A320&lt;=DATE(2015,10,6)),"Promo 2",IF(AND(A320&gt;=DATE(2015,9,9),A320&lt;=DATE(2015,9,22)),"Baseline 2",IF(AND(A320&gt;=DATE(2016,6,23),A320&lt;=DATE(2016,7,6)),"Promo 3",IF(AND(A320&gt;=DATE(2016,6,9),A320&lt;=DATE(2016,6,22)),"Baseline 3","Other"))))))</f>
        <v>Other</v>
      </c>
    </row>
    <row r="321" customFormat="false" ht="15" hidden="false" customHeight="true" outlineLevel="0" collapsed="false">
      <c r="A321" s="12" t="n">
        <v>41957</v>
      </c>
      <c r="B321" s="13" t="n">
        <v>149808.165944726</v>
      </c>
      <c r="C321" s="13" t="n">
        <v>146994.895501132</v>
      </c>
      <c r="D321" s="14" t="n">
        <v>3984</v>
      </c>
      <c r="E321" s="15" t="n">
        <f aca="false">B321/D321</f>
        <v>37.6024512913469</v>
      </c>
      <c r="F321" s="15" t="n">
        <f aca="false">C321/D321</f>
        <v>36.8963091117299</v>
      </c>
      <c r="G321" s="13" t="n">
        <f aca="false">B321-C321</f>
        <v>2813.270443594</v>
      </c>
      <c r="H321" s="16" t="n">
        <f aca="false">G321/B321</f>
        <v>0.0187791528309077</v>
      </c>
      <c r="I321" s="15" t="n">
        <f aca="false">G321/D321</f>
        <v>0.706142179616967</v>
      </c>
      <c r="J321" s="16" t="n">
        <f aca="false">I321/E321</f>
        <v>0.0187791528309077</v>
      </c>
      <c r="K321" s="17" t="str">
        <f aca="false">TEXT(A321,"dddd")</f>
        <v>Friday</v>
      </c>
      <c r="L321" s="17" t="str">
        <f aca="false">IF(AND(A321&gt;=DATE(2014,9,24),A321&lt;=DATE(2014,10,6)),"Promo 1",IF(AND(A321&gt;=DATE(2014,9,10),A321&lt;=DATE(2014,9,23)),"Baseline 1",IF(AND(A321&gt;=DATE(2015,9,23),A321&lt;=DATE(2015,10,6)),"Promo 2",IF(AND(A321&gt;=DATE(2015,9,9),A321&lt;=DATE(2015,9,22)),"Baseline 2",IF(AND(A321&gt;=DATE(2016,6,23),A321&lt;=DATE(2016,7,6)),"Promo 3",IF(AND(A321&gt;=DATE(2016,6,9),A321&lt;=DATE(2016,6,22)),"Baseline 3","Other"))))))</f>
        <v>Other</v>
      </c>
    </row>
    <row r="322" customFormat="false" ht="15" hidden="false" customHeight="true" outlineLevel="0" collapsed="false">
      <c r="A322" s="12" t="n">
        <v>41958</v>
      </c>
      <c r="B322" s="13" t="n">
        <v>180685.51072991</v>
      </c>
      <c r="C322" s="13" t="n">
        <v>176898.277820371</v>
      </c>
      <c r="D322" s="14" t="n">
        <v>4802</v>
      </c>
      <c r="E322" s="15" t="n">
        <f aca="false">B322/D322</f>
        <v>37.6271367617472</v>
      </c>
      <c r="F322" s="15" t="n">
        <f aca="false">C322/D322</f>
        <v>36.8384585215267</v>
      </c>
      <c r="G322" s="13" t="n">
        <f aca="false">B322-C322</f>
        <v>3787.23290953899</v>
      </c>
      <c r="H322" s="16" t="n">
        <f aca="false">G322/B322</f>
        <v>0.0209603575529649</v>
      </c>
      <c r="I322" s="15" t="n">
        <f aca="false">G322/D322</f>
        <v>0.78867824022053</v>
      </c>
      <c r="J322" s="16" t="n">
        <f aca="false">I322/E322</f>
        <v>0.0209603575529649</v>
      </c>
      <c r="K322" s="17" t="str">
        <f aca="false">TEXT(A322,"dddd")</f>
        <v>Saturday</v>
      </c>
      <c r="L322" s="17" t="str">
        <f aca="false">IF(AND(A322&gt;=DATE(2014,9,24),A322&lt;=DATE(2014,10,6)),"Promo 1",IF(AND(A322&gt;=DATE(2014,9,10),A322&lt;=DATE(2014,9,23)),"Baseline 1",IF(AND(A322&gt;=DATE(2015,9,23),A322&lt;=DATE(2015,10,6)),"Promo 2",IF(AND(A322&gt;=DATE(2015,9,9),A322&lt;=DATE(2015,9,22)),"Baseline 2",IF(AND(A322&gt;=DATE(2016,6,23),A322&lt;=DATE(2016,7,6)),"Promo 3",IF(AND(A322&gt;=DATE(2016,6,9),A322&lt;=DATE(2016,6,22)),"Baseline 3","Other"))))))</f>
        <v>Other</v>
      </c>
    </row>
    <row r="323" customFormat="false" ht="15" hidden="false" customHeight="true" outlineLevel="0" collapsed="false">
      <c r="A323" s="12" t="n">
        <v>41959</v>
      </c>
      <c r="B323" s="13" t="n">
        <v>75871.4367652205</v>
      </c>
      <c r="C323" s="13" t="n">
        <v>73905.81015882</v>
      </c>
      <c r="D323" s="14" t="n">
        <v>2017</v>
      </c>
      <c r="E323" s="15" t="n">
        <f aca="false">B323/D323</f>
        <v>37.6159825310959</v>
      </c>
      <c r="F323" s="15" t="n">
        <f aca="false">C323/D323</f>
        <v>36.6414527311948</v>
      </c>
      <c r="G323" s="13" t="n">
        <f aca="false">B323-C323</f>
        <v>1965.6266064005</v>
      </c>
      <c r="H323" s="16" t="n">
        <f aca="false">G323/B323</f>
        <v>0.0259073333813753</v>
      </c>
      <c r="I323" s="15" t="n">
        <f aca="false">G323/D323</f>
        <v>0.974529799901092</v>
      </c>
      <c r="J323" s="16" t="n">
        <f aca="false">I323/E323</f>
        <v>0.0259073333813753</v>
      </c>
      <c r="K323" s="17" t="str">
        <f aca="false">TEXT(A323,"dddd")</f>
        <v>Sunday</v>
      </c>
      <c r="L323" s="17" t="str">
        <f aca="false">IF(AND(A323&gt;=DATE(2014,9,24),A323&lt;=DATE(2014,10,6)),"Promo 1",IF(AND(A323&gt;=DATE(2014,9,10),A323&lt;=DATE(2014,9,23)),"Baseline 1",IF(AND(A323&gt;=DATE(2015,9,23),A323&lt;=DATE(2015,10,6)),"Promo 2",IF(AND(A323&gt;=DATE(2015,9,9),A323&lt;=DATE(2015,9,22)),"Baseline 2",IF(AND(A323&gt;=DATE(2016,6,23),A323&lt;=DATE(2016,7,6)),"Promo 3",IF(AND(A323&gt;=DATE(2016,6,9),A323&lt;=DATE(2016,6,22)),"Baseline 3","Other"))))))</f>
        <v>Other</v>
      </c>
    </row>
    <row r="324" customFormat="false" ht="15" hidden="false" customHeight="true" outlineLevel="0" collapsed="false">
      <c r="A324" s="12" t="n">
        <v>41960</v>
      </c>
      <c r="B324" s="13" t="n">
        <v>86313.3340831701</v>
      </c>
      <c r="C324" s="13" t="n">
        <v>84418.7891093106</v>
      </c>
      <c r="D324" s="14" t="n">
        <v>2297</v>
      </c>
      <c r="E324" s="15" t="n">
        <f aca="false">B324/D324</f>
        <v>37.576549448485</v>
      </c>
      <c r="F324" s="15" t="n">
        <f aca="false">C324/D324</f>
        <v>36.7517584280847</v>
      </c>
      <c r="G324" s="13" t="n">
        <f aca="false">B324-C324</f>
        <v>1894.54497385951</v>
      </c>
      <c r="H324" s="16" t="n">
        <f aca="false">G324/B324</f>
        <v>0.0219496210404056</v>
      </c>
      <c r="I324" s="15" t="n">
        <f aca="false">G324/D324</f>
        <v>0.824791020400307</v>
      </c>
      <c r="J324" s="16" t="n">
        <f aca="false">I324/E324</f>
        <v>0.0219496210404056</v>
      </c>
      <c r="K324" s="17" t="str">
        <f aca="false">TEXT(A324,"dddd")</f>
        <v>Monday</v>
      </c>
      <c r="L324" s="17" t="str">
        <f aca="false">IF(AND(A324&gt;=DATE(2014,9,24),A324&lt;=DATE(2014,10,6)),"Promo 1",IF(AND(A324&gt;=DATE(2014,9,10),A324&lt;=DATE(2014,9,23)),"Baseline 1",IF(AND(A324&gt;=DATE(2015,9,23),A324&lt;=DATE(2015,10,6)),"Promo 2",IF(AND(A324&gt;=DATE(2015,9,9),A324&lt;=DATE(2015,9,22)),"Baseline 2",IF(AND(A324&gt;=DATE(2016,6,23),A324&lt;=DATE(2016,7,6)),"Promo 3",IF(AND(A324&gt;=DATE(2016,6,9),A324&lt;=DATE(2016,6,22)),"Baseline 3","Other"))))))</f>
        <v>Other</v>
      </c>
    </row>
    <row r="325" customFormat="false" ht="15" hidden="false" customHeight="true" outlineLevel="0" collapsed="false">
      <c r="A325" s="12" t="n">
        <v>41961</v>
      </c>
      <c r="B325" s="13" t="n">
        <v>62631.7987520704</v>
      </c>
      <c r="C325" s="13" t="n">
        <v>61158.3610901928</v>
      </c>
      <c r="D325" s="14" t="n">
        <v>1665</v>
      </c>
      <c r="E325" s="15" t="n">
        <f aca="false">B325/D325</f>
        <v>37.6166959471894</v>
      </c>
      <c r="F325" s="15" t="n">
        <f aca="false">C325/D325</f>
        <v>36.7317484025182</v>
      </c>
      <c r="G325" s="13" t="n">
        <f aca="false">B325-C325</f>
        <v>1473.4376618776</v>
      </c>
      <c r="H325" s="16" t="n">
        <f aca="false">G325/B325</f>
        <v>0.0235253927116199</v>
      </c>
      <c r="I325" s="15" t="n">
        <f aca="false">G325/D325</f>
        <v>0.884947544671232</v>
      </c>
      <c r="J325" s="16" t="n">
        <f aca="false">I325/E325</f>
        <v>0.0235253927116199</v>
      </c>
      <c r="K325" s="17" t="str">
        <f aca="false">TEXT(A325,"dddd")</f>
        <v>Tuesday</v>
      </c>
      <c r="L325" s="17" t="str">
        <f aca="false">IF(AND(A325&gt;=DATE(2014,9,24),A325&lt;=DATE(2014,10,6)),"Promo 1",IF(AND(A325&gt;=DATE(2014,9,10),A325&lt;=DATE(2014,9,23)),"Baseline 1",IF(AND(A325&gt;=DATE(2015,9,23),A325&lt;=DATE(2015,10,6)),"Promo 2",IF(AND(A325&gt;=DATE(2015,9,9),A325&lt;=DATE(2015,9,22)),"Baseline 2",IF(AND(A325&gt;=DATE(2016,6,23),A325&lt;=DATE(2016,7,6)),"Promo 3",IF(AND(A325&gt;=DATE(2016,6,9),A325&lt;=DATE(2016,6,22)),"Baseline 3","Other"))))))</f>
        <v>Other</v>
      </c>
    </row>
    <row r="326" customFormat="false" ht="15" hidden="false" customHeight="true" outlineLevel="0" collapsed="false">
      <c r="A326" s="12" t="n">
        <v>41962</v>
      </c>
      <c r="B326" s="13" t="n">
        <v>48529.1033603403</v>
      </c>
      <c r="C326" s="13" t="n">
        <v>47409.5540564672</v>
      </c>
      <c r="D326" s="14" t="n">
        <v>1291</v>
      </c>
      <c r="E326" s="15" t="n">
        <f aca="false">B326/D326</f>
        <v>37.590320186166</v>
      </c>
      <c r="F326" s="15" t="n">
        <f aca="false">C326/D326</f>
        <v>36.7231247532666</v>
      </c>
      <c r="G326" s="13" t="n">
        <f aca="false">B326-C326</f>
        <v>1119.5493038731</v>
      </c>
      <c r="H326" s="16" t="n">
        <f aca="false">G326/B326</f>
        <v>0.0230696474146694</v>
      </c>
      <c r="I326" s="15" t="n">
        <f aca="false">G326/D326</f>
        <v>0.86719543289938</v>
      </c>
      <c r="J326" s="16" t="n">
        <f aca="false">I326/E326</f>
        <v>0.0230696474146694</v>
      </c>
      <c r="K326" s="17" t="str">
        <f aca="false">TEXT(A326,"dddd")</f>
        <v>Wednesday</v>
      </c>
      <c r="L326" s="17" t="str">
        <f aca="false">IF(AND(A326&gt;=DATE(2014,9,24),A326&lt;=DATE(2014,10,6)),"Promo 1",IF(AND(A326&gt;=DATE(2014,9,10),A326&lt;=DATE(2014,9,23)),"Baseline 1",IF(AND(A326&gt;=DATE(2015,9,23),A326&lt;=DATE(2015,10,6)),"Promo 2",IF(AND(A326&gt;=DATE(2015,9,9),A326&lt;=DATE(2015,9,22)),"Baseline 2",IF(AND(A326&gt;=DATE(2016,6,23),A326&lt;=DATE(2016,7,6)),"Promo 3",IF(AND(A326&gt;=DATE(2016,6,9),A326&lt;=DATE(2016,6,22)),"Baseline 3","Other"))))))</f>
        <v>Other</v>
      </c>
    </row>
    <row r="327" customFormat="false" ht="15" hidden="false" customHeight="true" outlineLevel="0" collapsed="false">
      <c r="A327" s="12" t="n">
        <v>41963</v>
      </c>
      <c r="B327" s="13" t="n">
        <v>51040.8813680703</v>
      </c>
      <c r="C327" s="13" t="n">
        <v>50038.1426341611</v>
      </c>
      <c r="D327" s="14" t="n">
        <v>1361</v>
      </c>
      <c r="E327" s="15" t="n">
        <f aca="false">B327/D327</f>
        <v>37.5024844732331</v>
      </c>
      <c r="F327" s="15" t="n">
        <f aca="false">C327/D327</f>
        <v>36.7657183204711</v>
      </c>
      <c r="G327" s="13" t="n">
        <f aca="false">B327-C327</f>
        <v>1002.7387339092</v>
      </c>
      <c r="H327" s="16" t="n">
        <f aca="false">G327/B327</f>
        <v>0.0196457958215527</v>
      </c>
      <c r="I327" s="15" t="n">
        <f aca="false">G327/D327</f>
        <v>0.736766152762088</v>
      </c>
      <c r="J327" s="16" t="n">
        <f aca="false">I327/E327</f>
        <v>0.0196457958215527</v>
      </c>
      <c r="K327" s="17" t="str">
        <f aca="false">TEXT(A327,"dddd")</f>
        <v>Thursday</v>
      </c>
      <c r="L327" s="17" t="str">
        <f aca="false">IF(AND(A327&gt;=DATE(2014,9,24),A327&lt;=DATE(2014,10,6)),"Promo 1",IF(AND(A327&gt;=DATE(2014,9,10),A327&lt;=DATE(2014,9,23)),"Baseline 1",IF(AND(A327&gt;=DATE(2015,9,23),A327&lt;=DATE(2015,10,6)),"Promo 2",IF(AND(A327&gt;=DATE(2015,9,9),A327&lt;=DATE(2015,9,22)),"Baseline 2",IF(AND(A327&gt;=DATE(2016,6,23),A327&lt;=DATE(2016,7,6)),"Promo 3",IF(AND(A327&gt;=DATE(2016,6,9),A327&lt;=DATE(2016,6,22)),"Baseline 3","Other"))))))</f>
        <v>Other</v>
      </c>
    </row>
    <row r="328" customFormat="false" ht="15" hidden="false" customHeight="true" outlineLevel="0" collapsed="false">
      <c r="A328" s="12" t="n">
        <v>41964</v>
      </c>
      <c r="B328" s="13" t="n">
        <v>53973.92224002</v>
      </c>
      <c r="C328" s="13" t="n">
        <v>47192.4982841019</v>
      </c>
      <c r="D328" s="14" t="n">
        <v>1281</v>
      </c>
      <c r="E328" s="15" t="n">
        <f aca="false">B328/D328</f>
        <v>42.1342093989227</v>
      </c>
      <c r="F328" s="15" t="n">
        <f aca="false">C328/D328</f>
        <v>36.8403577549585</v>
      </c>
      <c r="G328" s="13" t="n">
        <f aca="false">B328-C328</f>
        <v>6781.4239559181</v>
      </c>
      <c r="H328" s="16" t="n">
        <f aca="false">G328/B328</f>
        <v>0.125642600620377</v>
      </c>
      <c r="I328" s="15" t="n">
        <f aca="false">G328/D328</f>
        <v>5.29385164396417</v>
      </c>
      <c r="J328" s="16" t="n">
        <f aca="false">I328/E328</f>
        <v>0.125642600620377</v>
      </c>
      <c r="K328" s="17" t="str">
        <f aca="false">TEXT(A328,"dddd")</f>
        <v>Friday</v>
      </c>
      <c r="L328" s="17" t="str">
        <f aca="false">IF(AND(A328&gt;=DATE(2014,9,24),A328&lt;=DATE(2014,10,6)),"Promo 1",IF(AND(A328&gt;=DATE(2014,9,10),A328&lt;=DATE(2014,9,23)),"Baseline 1",IF(AND(A328&gt;=DATE(2015,9,23),A328&lt;=DATE(2015,10,6)),"Promo 2",IF(AND(A328&gt;=DATE(2015,9,9),A328&lt;=DATE(2015,9,22)),"Baseline 2",IF(AND(A328&gt;=DATE(2016,6,23),A328&lt;=DATE(2016,7,6)),"Promo 3",IF(AND(A328&gt;=DATE(2016,6,9),A328&lt;=DATE(2016,6,22)),"Baseline 3","Other"))))))</f>
        <v>Other</v>
      </c>
    </row>
    <row r="329" customFormat="false" ht="15" hidden="false" customHeight="true" outlineLevel="0" collapsed="false">
      <c r="A329" s="12" t="n">
        <v>41965</v>
      </c>
      <c r="B329" s="13" t="n">
        <v>47497.9825335099</v>
      </c>
      <c r="C329" s="13" t="n">
        <v>41179.0882454592</v>
      </c>
      <c r="D329" s="14" t="n">
        <v>1122</v>
      </c>
      <c r="E329" s="15" t="n">
        <f aca="false">B329/D329</f>
        <v>42.3333177660516</v>
      </c>
      <c r="F329" s="15" t="n">
        <f aca="false">C329/D329</f>
        <v>36.7015046750973</v>
      </c>
      <c r="G329" s="13" t="n">
        <f aca="false">B329-C329</f>
        <v>6318.8942880507</v>
      </c>
      <c r="H329" s="16" t="n">
        <f aca="false">G329/B329</f>
        <v>0.133035003825535</v>
      </c>
      <c r="I329" s="15" t="n">
        <f aca="false">G329/D329</f>
        <v>5.63181309095428</v>
      </c>
      <c r="J329" s="16" t="n">
        <f aca="false">I329/E329</f>
        <v>0.133035003825535</v>
      </c>
      <c r="K329" s="17" t="str">
        <f aca="false">TEXT(A329,"dddd")</f>
        <v>Saturday</v>
      </c>
      <c r="L329" s="17" t="str">
        <f aca="false">IF(AND(A329&gt;=DATE(2014,9,24),A329&lt;=DATE(2014,10,6)),"Promo 1",IF(AND(A329&gt;=DATE(2014,9,10),A329&lt;=DATE(2014,9,23)),"Baseline 1",IF(AND(A329&gt;=DATE(2015,9,23),A329&lt;=DATE(2015,10,6)),"Promo 2",IF(AND(A329&gt;=DATE(2015,9,9),A329&lt;=DATE(2015,9,22)),"Baseline 2",IF(AND(A329&gt;=DATE(2016,6,23),A329&lt;=DATE(2016,7,6)),"Promo 3",IF(AND(A329&gt;=DATE(2016,6,9),A329&lt;=DATE(2016,6,22)),"Baseline 3","Other"))))))</f>
        <v>Other</v>
      </c>
    </row>
    <row r="330" customFormat="false" ht="15" hidden="false" customHeight="true" outlineLevel="0" collapsed="false">
      <c r="A330" s="12" t="n">
        <v>41966</v>
      </c>
      <c r="B330" s="13" t="n">
        <v>31219.9515287199</v>
      </c>
      <c r="C330" s="13" t="n">
        <v>26893.304677301</v>
      </c>
      <c r="D330" s="14" t="n">
        <v>737</v>
      </c>
      <c r="E330" s="15" t="n">
        <f aca="false">B330/D330</f>
        <v>42.3608568910718</v>
      </c>
      <c r="F330" s="15" t="n">
        <f aca="false">C330/D330</f>
        <v>36.4902370112632</v>
      </c>
      <c r="G330" s="13" t="n">
        <f aca="false">B330-C330</f>
        <v>4326.6468514189</v>
      </c>
      <c r="H330" s="16" t="n">
        <f aca="false">G330/B330</f>
        <v>0.138585956721897</v>
      </c>
      <c r="I330" s="15" t="n">
        <f aca="false">G330/D330</f>
        <v>5.87061987980855</v>
      </c>
      <c r="J330" s="16" t="n">
        <f aca="false">I330/E330</f>
        <v>0.138585956721897</v>
      </c>
      <c r="K330" s="17" t="str">
        <f aca="false">TEXT(A330,"dddd")</f>
        <v>Sunday</v>
      </c>
      <c r="L330" s="17" t="str">
        <f aca="false">IF(AND(A330&gt;=DATE(2014,9,24),A330&lt;=DATE(2014,10,6)),"Promo 1",IF(AND(A330&gt;=DATE(2014,9,10),A330&lt;=DATE(2014,9,23)),"Baseline 1",IF(AND(A330&gt;=DATE(2015,9,23),A330&lt;=DATE(2015,10,6)),"Promo 2",IF(AND(A330&gt;=DATE(2015,9,9),A330&lt;=DATE(2015,9,22)),"Baseline 2",IF(AND(A330&gt;=DATE(2016,6,23),A330&lt;=DATE(2016,7,6)),"Promo 3",IF(AND(A330&gt;=DATE(2016,6,9),A330&lt;=DATE(2016,6,22)),"Baseline 3","Other"))))))</f>
        <v>Other</v>
      </c>
    </row>
    <row r="331" customFormat="false" ht="15" hidden="false" customHeight="true" outlineLevel="0" collapsed="false">
      <c r="A331" s="12" t="n">
        <v>41967</v>
      </c>
      <c r="B331" s="13" t="n">
        <v>26870.32387347</v>
      </c>
      <c r="C331" s="13" t="n">
        <v>23516.0417180955</v>
      </c>
      <c r="D331" s="14" t="n">
        <v>641</v>
      </c>
      <c r="E331" s="15" t="n">
        <f aca="false">B331/D331</f>
        <v>41.9193820178939</v>
      </c>
      <c r="F331" s="15" t="n">
        <f aca="false">C331/D331</f>
        <v>36.6864925399306</v>
      </c>
      <c r="G331" s="13" t="n">
        <f aca="false">B331-C331</f>
        <v>3354.2821553745</v>
      </c>
      <c r="H331" s="16" t="n">
        <f aca="false">G331/B331</f>
        <v>0.124832219037237</v>
      </c>
      <c r="I331" s="15" t="n">
        <f aca="false">G331/D331</f>
        <v>5.23288947796334</v>
      </c>
      <c r="J331" s="16" t="n">
        <f aca="false">I331/E331</f>
        <v>0.124832219037237</v>
      </c>
      <c r="K331" s="17" t="str">
        <f aca="false">TEXT(A331,"dddd")</f>
        <v>Monday</v>
      </c>
      <c r="L331" s="17" t="str">
        <f aca="false">IF(AND(A331&gt;=DATE(2014,9,24),A331&lt;=DATE(2014,10,6)),"Promo 1",IF(AND(A331&gt;=DATE(2014,9,10),A331&lt;=DATE(2014,9,23)),"Baseline 1",IF(AND(A331&gt;=DATE(2015,9,23),A331&lt;=DATE(2015,10,6)),"Promo 2",IF(AND(A331&gt;=DATE(2015,9,9),A331&lt;=DATE(2015,9,22)),"Baseline 2",IF(AND(A331&gt;=DATE(2016,6,23),A331&lt;=DATE(2016,7,6)),"Promo 3",IF(AND(A331&gt;=DATE(2016,6,9),A331&lt;=DATE(2016,6,22)),"Baseline 3","Other"))))))</f>
        <v>Other</v>
      </c>
    </row>
    <row r="332" customFormat="false" ht="15" hidden="false" customHeight="true" outlineLevel="0" collapsed="false">
      <c r="A332" s="12" t="n">
        <v>41968</v>
      </c>
      <c r="B332" s="13" t="n">
        <v>40530.64229268</v>
      </c>
      <c r="C332" s="13" t="n">
        <v>35674.1907631663</v>
      </c>
      <c r="D332" s="14" t="n">
        <v>968</v>
      </c>
      <c r="E332" s="15" t="n">
        <f aca="false">B332/D332</f>
        <v>41.8704982362397</v>
      </c>
      <c r="F332" s="15" t="n">
        <f aca="false">C332/D332</f>
        <v>36.8535028545106</v>
      </c>
      <c r="G332" s="13" t="n">
        <f aca="false">B332-C332</f>
        <v>4856.4515295137</v>
      </c>
      <c r="H332" s="16" t="n">
        <f aca="false">G332/B332</f>
        <v>0.119821726348284</v>
      </c>
      <c r="I332" s="15" t="n">
        <f aca="false">G332/D332</f>
        <v>5.01699538172903</v>
      </c>
      <c r="J332" s="16" t="n">
        <f aca="false">I332/E332</f>
        <v>0.119821726348284</v>
      </c>
      <c r="K332" s="17" t="str">
        <f aca="false">TEXT(A332,"dddd")</f>
        <v>Tuesday</v>
      </c>
      <c r="L332" s="17" t="str">
        <f aca="false">IF(AND(A332&gt;=DATE(2014,9,24),A332&lt;=DATE(2014,10,6)),"Promo 1",IF(AND(A332&gt;=DATE(2014,9,10),A332&lt;=DATE(2014,9,23)),"Baseline 1",IF(AND(A332&gt;=DATE(2015,9,23),A332&lt;=DATE(2015,10,6)),"Promo 2",IF(AND(A332&gt;=DATE(2015,9,9),A332&lt;=DATE(2015,9,22)),"Baseline 2",IF(AND(A332&gt;=DATE(2016,6,23),A332&lt;=DATE(2016,7,6)),"Promo 3",IF(AND(A332&gt;=DATE(2016,6,9),A332&lt;=DATE(2016,6,22)),"Baseline 3","Other"))))))</f>
        <v>Other</v>
      </c>
    </row>
    <row r="333" customFormat="false" ht="15" hidden="false" customHeight="true" outlineLevel="0" collapsed="false">
      <c r="A333" s="12" t="n">
        <v>41969</v>
      </c>
      <c r="B333" s="13" t="n">
        <v>30371.4313350499</v>
      </c>
      <c r="C333" s="13" t="n">
        <v>26054.8491682814</v>
      </c>
      <c r="D333" s="14" t="n">
        <v>709</v>
      </c>
      <c r="E333" s="15" t="n">
        <f aca="false">B333/D333</f>
        <v>42.8369976516924</v>
      </c>
      <c r="F333" s="15" t="n">
        <f aca="false">C333/D333</f>
        <v>36.7487294334011</v>
      </c>
      <c r="G333" s="13" t="n">
        <f aca="false">B333-C333</f>
        <v>4316.5821667685</v>
      </c>
      <c r="H333" s="16" t="n">
        <f aca="false">G333/B333</f>
        <v>0.14212639895529</v>
      </c>
      <c r="I333" s="15" t="n">
        <f aca="false">G333/D333</f>
        <v>6.08826821829126</v>
      </c>
      <c r="J333" s="16" t="n">
        <f aca="false">I333/E333</f>
        <v>0.14212639895529</v>
      </c>
      <c r="K333" s="17" t="str">
        <f aca="false">TEXT(A333,"dddd")</f>
        <v>Wednesday</v>
      </c>
      <c r="L333" s="17" t="str">
        <f aca="false">IF(AND(A333&gt;=DATE(2014,9,24),A333&lt;=DATE(2014,10,6)),"Promo 1",IF(AND(A333&gt;=DATE(2014,9,10),A333&lt;=DATE(2014,9,23)),"Baseline 1",IF(AND(A333&gt;=DATE(2015,9,23),A333&lt;=DATE(2015,10,6)),"Promo 2",IF(AND(A333&gt;=DATE(2015,9,9),A333&lt;=DATE(2015,9,22)),"Baseline 2",IF(AND(A333&gt;=DATE(2016,6,23),A333&lt;=DATE(2016,7,6)),"Promo 3",IF(AND(A333&gt;=DATE(2016,6,9),A333&lt;=DATE(2016,6,22)),"Baseline 3","Other"))))))</f>
        <v>Other</v>
      </c>
    </row>
    <row r="334" customFormat="false" ht="15" hidden="false" customHeight="true" outlineLevel="0" collapsed="false">
      <c r="A334" s="12" t="n">
        <v>41970</v>
      </c>
      <c r="B334" s="13" t="n">
        <v>37776.6587667499</v>
      </c>
      <c r="C334" s="13" t="n">
        <v>32719.6896364216</v>
      </c>
      <c r="D334" s="14" t="n">
        <v>880</v>
      </c>
      <c r="E334" s="15" t="n">
        <f aca="false">B334/D334</f>
        <v>42.9280213258522</v>
      </c>
      <c r="F334" s="15" t="n">
        <f aca="false">C334/D334</f>
        <v>37.1814654959336</v>
      </c>
      <c r="G334" s="13" t="n">
        <f aca="false">B334-C334</f>
        <v>5056.9691303283</v>
      </c>
      <c r="H334" s="16" t="n">
        <f aca="false">G334/B334</f>
        <v>0.133864912764051</v>
      </c>
      <c r="I334" s="15" t="n">
        <f aca="false">G334/D334</f>
        <v>5.74655582991852</v>
      </c>
      <c r="J334" s="16" t="n">
        <f aca="false">I334/E334</f>
        <v>0.133864912764051</v>
      </c>
      <c r="K334" s="17" t="str">
        <f aca="false">TEXT(A334,"dddd")</f>
        <v>Thursday</v>
      </c>
      <c r="L334" s="17" t="str">
        <f aca="false">IF(AND(A334&gt;=DATE(2014,9,24),A334&lt;=DATE(2014,10,6)),"Promo 1",IF(AND(A334&gt;=DATE(2014,9,10),A334&lt;=DATE(2014,9,23)),"Baseline 1",IF(AND(A334&gt;=DATE(2015,9,23),A334&lt;=DATE(2015,10,6)),"Promo 2",IF(AND(A334&gt;=DATE(2015,9,9),A334&lt;=DATE(2015,9,22)),"Baseline 2",IF(AND(A334&gt;=DATE(2016,6,23),A334&lt;=DATE(2016,7,6)),"Promo 3",IF(AND(A334&gt;=DATE(2016,6,9),A334&lt;=DATE(2016,6,22)),"Baseline 3","Other"))))))</f>
        <v>Other</v>
      </c>
    </row>
    <row r="335" customFormat="false" ht="15" hidden="false" customHeight="true" outlineLevel="0" collapsed="false">
      <c r="A335" s="12" t="n">
        <v>41971</v>
      </c>
      <c r="B335" s="13" t="n">
        <v>46818.20532261</v>
      </c>
      <c r="C335" s="13" t="n">
        <v>40652.5764088514</v>
      </c>
      <c r="D335" s="14" t="n">
        <v>1096</v>
      </c>
      <c r="E335" s="15" t="n">
        <f aca="false">B335/D335</f>
        <v>42.7173406228193</v>
      </c>
      <c r="F335" s="15" t="n">
        <f aca="false">C335/D335</f>
        <v>37.0917667963973</v>
      </c>
      <c r="G335" s="13" t="n">
        <f aca="false">B335-C335</f>
        <v>6165.62891375861</v>
      </c>
      <c r="H335" s="16" t="n">
        <f aca="false">G335/B335</f>
        <v>0.131692978645233</v>
      </c>
      <c r="I335" s="15" t="n">
        <f aca="false">G335/D335</f>
        <v>5.62557382642209</v>
      </c>
      <c r="J335" s="16" t="n">
        <f aca="false">I335/E335</f>
        <v>0.131692978645233</v>
      </c>
      <c r="K335" s="17" t="str">
        <f aca="false">TEXT(A335,"dddd")</f>
        <v>Friday</v>
      </c>
      <c r="L335" s="17" t="str">
        <f aca="false">IF(AND(A335&gt;=DATE(2014,9,24),A335&lt;=DATE(2014,10,6)),"Promo 1",IF(AND(A335&gt;=DATE(2014,9,10),A335&lt;=DATE(2014,9,23)),"Baseline 1",IF(AND(A335&gt;=DATE(2015,9,23),A335&lt;=DATE(2015,10,6)),"Promo 2",IF(AND(A335&gt;=DATE(2015,9,9),A335&lt;=DATE(2015,9,22)),"Baseline 2",IF(AND(A335&gt;=DATE(2016,6,23),A335&lt;=DATE(2016,7,6)),"Promo 3",IF(AND(A335&gt;=DATE(2016,6,9),A335&lt;=DATE(2016,6,22)),"Baseline 3","Other"))))))</f>
        <v>Other</v>
      </c>
    </row>
    <row r="336" customFormat="false" ht="15" hidden="false" customHeight="true" outlineLevel="0" collapsed="false">
      <c r="A336" s="12" t="n">
        <v>41972</v>
      </c>
      <c r="B336" s="13" t="n">
        <v>88321.6255497607</v>
      </c>
      <c r="C336" s="13" t="n">
        <v>79880.2436829365</v>
      </c>
      <c r="D336" s="14" t="n">
        <v>2068</v>
      </c>
      <c r="E336" s="15" t="n">
        <f aca="false">B336/D336</f>
        <v>42.7087164167121</v>
      </c>
      <c r="F336" s="15" t="n">
        <f aca="false">C336/D336</f>
        <v>38.6268102915554</v>
      </c>
      <c r="G336" s="13" t="n">
        <f aca="false">B336-C336</f>
        <v>8441.3818668242</v>
      </c>
      <c r="H336" s="16" t="n">
        <f aca="false">G336/B336</f>
        <v>0.0955754812513986</v>
      </c>
      <c r="I336" s="15" t="n">
        <f aca="false">G336/D336</f>
        <v>4.08190612515677</v>
      </c>
      <c r="J336" s="16" t="n">
        <f aca="false">I336/E336</f>
        <v>0.0955754812513986</v>
      </c>
      <c r="K336" s="17" t="str">
        <f aca="false">TEXT(A336,"dddd")</f>
        <v>Saturday</v>
      </c>
      <c r="L336" s="17" t="str">
        <f aca="false">IF(AND(A336&gt;=DATE(2014,9,24),A336&lt;=DATE(2014,10,6)),"Promo 1",IF(AND(A336&gt;=DATE(2014,9,10),A336&lt;=DATE(2014,9,23)),"Baseline 1",IF(AND(A336&gt;=DATE(2015,9,23),A336&lt;=DATE(2015,10,6)),"Promo 2",IF(AND(A336&gt;=DATE(2015,9,9),A336&lt;=DATE(2015,9,22)),"Baseline 2",IF(AND(A336&gt;=DATE(2016,6,23),A336&lt;=DATE(2016,7,6)),"Promo 3",IF(AND(A336&gt;=DATE(2016,6,9),A336&lt;=DATE(2016,6,22)),"Baseline 3","Other"))))))</f>
        <v>Other</v>
      </c>
    </row>
    <row r="337" customFormat="false" ht="15" hidden="false" customHeight="true" outlineLevel="0" collapsed="false">
      <c r="A337" s="12" t="n">
        <v>41973</v>
      </c>
      <c r="B337" s="13" t="n">
        <v>101037.827829792</v>
      </c>
      <c r="C337" s="13" t="n">
        <v>93177.8847043903</v>
      </c>
      <c r="D337" s="14" t="n">
        <v>2375</v>
      </c>
      <c r="E337" s="15" t="n">
        <f aca="false">B337/D337</f>
        <v>42.5422432967545</v>
      </c>
      <c r="F337" s="15" t="n">
        <f aca="false">C337/D337</f>
        <v>39.2327935597433</v>
      </c>
      <c r="G337" s="13" t="n">
        <f aca="false">B337-C337</f>
        <v>7859.94312540171</v>
      </c>
      <c r="H337" s="16" t="n">
        <f aca="false">G337/B337</f>
        <v>0.0777920833634958</v>
      </c>
      <c r="I337" s="15" t="n">
        <f aca="false">G337/D337</f>
        <v>3.30944973701125</v>
      </c>
      <c r="J337" s="16" t="n">
        <f aca="false">I337/E337</f>
        <v>0.0777920833634958</v>
      </c>
      <c r="K337" s="17" t="str">
        <f aca="false">TEXT(A337,"dddd")</f>
        <v>Sunday</v>
      </c>
      <c r="L337" s="17" t="str">
        <f aca="false">IF(AND(A337&gt;=DATE(2014,9,24),A337&lt;=DATE(2014,10,6)),"Promo 1",IF(AND(A337&gt;=DATE(2014,9,10),A337&lt;=DATE(2014,9,23)),"Baseline 1",IF(AND(A337&gt;=DATE(2015,9,23),A337&lt;=DATE(2015,10,6)),"Promo 2",IF(AND(A337&gt;=DATE(2015,9,9),A337&lt;=DATE(2015,9,22)),"Baseline 2",IF(AND(A337&gt;=DATE(2016,6,23),A337&lt;=DATE(2016,7,6)),"Promo 3",IF(AND(A337&gt;=DATE(2016,6,9),A337&lt;=DATE(2016,6,22)),"Baseline 3","Other"))))))</f>
        <v>Other</v>
      </c>
    </row>
    <row r="338" customFormat="false" ht="15" hidden="false" customHeight="true" outlineLevel="0" collapsed="false">
      <c r="A338" s="12" t="n">
        <v>41974</v>
      </c>
      <c r="B338" s="13" t="n">
        <v>105100.667648512</v>
      </c>
      <c r="C338" s="13" t="n">
        <v>97257.3946657294</v>
      </c>
      <c r="D338" s="14" t="n">
        <v>2492</v>
      </c>
      <c r="E338" s="15" t="n">
        <f aca="false">B338/D338</f>
        <v>42.1752277883275</v>
      </c>
      <c r="F338" s="15" t="n">
        <f aca="false">C338/D338</f>
        <v>39.0278469766169</v>
      </c>
      <c r="G338" s="13" t="n">
        <f aca="false">B338-C338</f>
        <v>7843.2729827826</v>
      </c>
      <c r="H338" s="16" t="n">
        <f aca="false">G338/B338</f>
        <v>0.0746262907578555</v>
      </c>
      <c r="I338" s="15" t="n">
        <f aca="false">G338/D338</f>
        <v>3.14738081171051</v>
      </c>
      <c r="J338" s="16" t="n">
        <f aca="false">I338/E338</f>
        <v>0.0746262907578555</v>
      </c>
      <c r="K338" s="17" t="str">
        <f aca="false">TEXT(A338,"dddd")</f>
        <v>Monday</v>
      </c>
      <c r="L338" s="17" t="str">
        <f aca="false">IF(AND(A338&gt;=DATE(2014,9,24),A338&lt;=DATE(2014,10,6)),"Promo 1",IF(AND(A338&gt;=DATE(2014,9,10),A338&lt;=DATE(2014,9,23)),"Baseline 1",IF(AND(A338&gt;=DATE(2015,9,23),A338&lt;=DATE(2015,10,6)),"Promo 2",IF(AND(A338&gt;=DATE(2015,9,9),A338&lt;=DATE(2015,9,22)),"Baseline 2",IF(AND(A338&gt;=DATE(2016,6,23),A338&lt;=DATE(2016,7,6)),"Promo 3",IF(AND(A338&gt;=DATE(2016,6,9),A338&lt;=DATE(2016,6,22)),"Baseline 3","Other"))))))</f>
        <v>Other</v>
      </c>
    </row>
    <row r="339" customFormat="false" ht="15" hidden="false" customHeight="true" outlineLevel="0" collapsed="false">
      <c r="A339" s="12" t="n">
        <v>41975</v>
      </c>
      <c r="B339" s="13" t="n">
        <v>88219.5254881299</v>
      </c>
      <c r="C339" s="13" t="n">
        <v>85533.4289233185</v>
      </c>
      <c r="D339" s="14" t="n">
        <v>2170</v>
      </c>
      <c r="E339" s="15" t="n">
        <f aca="false">B339/D339</f>
        <v>40.6541592111198</v>
      </c>
      <c r="F339" s="15" t="n">
        <f aca="false">C339/D339</f>
        <v>39.4163266927735</v>
      </c>
      <c r="G339" s="13" t="n">
        <f aca="false">B339-C339</f>
        <v>2686.09656481141</v>
      </c>
      <c r="H339" s="16" t="n">
        <f aca="false">G339/B339</f>
        <v>0.0304478691077615</v>
      </c>
      <c r="I339" s="15" t="n">
        <f aca="false">G339/D339</f>
        <v>1.23783251834627</v>
      </c>
      <c r="J339" s="16" t="n">
        <f aca="false">I339/E339</f>
        <v>0.0304478691077615</v>
      </c>
      <c r="K339" s="17" t="str">
        <f aca="false">TEXT(A339,"dddd")</f>
        <v>Tuesday</v>
      </c>
      <c r="L339" s="17" t="str">
        <f aca="false">IF(AND(A339&gt;=DATE(2014,9,24),A339&lt;=DATE(2014,10,6)),"Promo 1",IF(AND(A339&gt;=DATE(2014,9,10),A339&lt;=DATE(2014,9,23)),"Baseline 1",IF(AND(A339&gt;=DATE(2015,9,23),A339&lt;=DATE(2015,10,6)),"Promo 2",IF(AND(A339&gt;=DATE(2015,9,9),A339&lt;=DATE(2015,9,22)),"Baseline 2",IF(AND(A339&gt;=DATE(2016,6,23),A339&lt;=DATE(2016,7,6)),"Promo 3",IF(AND(A339&gt;=DATE(2016,6,9),A339&lt;=DATE(2016,6,22)),"Baseline 3","Other"))))))</f>
        <v>Other</v>
      </c>
    </row>
    <row r="340" customFormat="false" ht="15" hidden="false" customHeight="true" outlineLevel="0" collapsed="false">
      <c r="A340" s="12" t="n">
        <v>41976</v>
      </c>
      <c r="B340" s="13" t="n">
        <v>71590.3692892204</v>
      </c>
      <c r="C340" s="13" t="n">
        <v>69654.930305904</v>
      </c>
      <c r="D340" s="14" t="n">
        <v>1784</v>
      </c>
      <c r="E340" s="15" t="n">
        <f aca="false">B340/D340</f>
        <v>40.1291307675002</v>
      </c>
      <c r="F340" s="15" t="n">
        <f aca="false">C340/D340</f>
        <v>39.0442434450135</v>
      </c>
      <c r="G340" s="13" t="n">
        <f aca="false">B340-C340</f>
        <v>1935.4389833164</v>
      </c>
      <c r="H340" s="16" t="n">
        <f aca="false">G340/B340</f>
        <v>0.0270349071045765</v>
      </c>
      <c r="I340" s="15" t="n">
        <f aca="false">G340/D340</f>
        <v>1.08488732248677</v>
      </c>
      <c r="J340" s="16" t="n">
        <f aca="false">I340/E340</f>
        <v>0.0270349071045765</v>
      </c>
      <c r="K340" s="17" t="str">
        <f aca="false">TEXT(A340,"dddd")</f>
        <v>Wednesday</v>
      </c>
      <c r="L340" s="17" t="str">
        <f aca="false">IF(AND(A340&gt;=DATE(2014,9,24),A340&lt;=DATE(2014,10,6)),"Promo 1",IF(AND(A340&gt;=DATE(2014,9,10),A340&lt;=DATE(2014,9,23)),"Baseline 1",IF(AND(A340&gt;=DATE(2015,9,23),A340&lt;=DATE(2015,10,6)),"Promo 2",IF(AND(A340&gt;=DATE(2015,9,9),A340&lt;=DATE(2015,9,22)),"Baseline 2",IF(AND(A340&gt;=DATE(2016,6,23),A340&lt;=DATE(2016,7,6)),"Promo 3",IF(AND(A340&gt;=DATE(2016,6,9),A340&lt;=DATE(2016,6,22)),"Baseline 3","Other"))))))</f>
        <v>Other</v>
      </c>
    </row>
    <row r="341" customFormat="false" ht="15" hidden="false" customHeight="true" outlineLevel="0" collapsed="false">
      <c r="A341" s="12" t="n">
        <v>41977</v>
      </c>
      <c r="B341" s="13" t="n">
        <v>54996.6216926203</v>
      </c>
      <c r="C341" s="13" t="n">
        <v>54503.0285475046</v>
      </c>
      <c r="D341" s="14" t="n">
        <v>1368</v>
      </c>
      <c r="E341" s="15" t="n">
        <f aca="false">B341/D341</f>
        <v>40.2022088396347</v>
      </c>
      <c r="F341" s="15" t="n">
        <f aca="false">C341/D341</f>
        <v>39.8413951370648</v>
      </c>
      <c r="G341" s="13" t="n">
        <f aca="false">B341-C341</f>
        <v>493.593145115701</v>
      </c>
      <c r="H341" s="16" t="n">
        <f aca="false">G341/B341</f>
        <v>0.00897497209691216</v>
      </c>
      <c r="I341" s="15" t="n">
        <f aca="false">G341/D341</f>
        <v>0.360813702569957</v>
      </c>
      <c r="J341" s="16" t="n">
        <f aca="false">I341/E341</f>
        <v>0.00897497209691216</v>
      </c>
      <c r="K341" s="17" t="str">
        <f aca="false">TEXT(A341,"dddd")</f>
        <v>Thursday</v>
      </c>
      <c r="L341" s="17" t="str">
        <f aca="false">IF(AND(A341&gt;=DATE(2014,9,24),A341&lt;=DATE(2014,10,6)),"Promo 1",IF(AND(A341&gt;=DATE(2014,9,10),A341&lt;=DATE(2014,9,23)),"Baseline 1",IF(AND(A341&gt;=DATE(2015,9,23),A341&lt;=DATE(2015,10,6)),"Promo 2",IF(AND(A341&gt;=DATE(2015,9,9),A341&lt;=DATE(2015,9,22)),"Baseline 2",IF(AND(A341&gt;=DATE(2016,6,23),A341&lt;=DATE(2016,7,6)),"Promo 3",IF(AND(A341&gt;=DATE(2016,6,9),A341&lt;=DATE(2016,6,22)),"Baseline 3","Other"))))))</f>
        <v>Other</v>
      </c>
    </row>
    <row r="342" customFormat="false" ht="15" hidden="false" customHeight="true" outlineLevel="0" collapsed="false">
      <c r="A342" s="12" t="n">
        <v>41978</v>
      </c>
      <c r="B342" s="13" t="n">
        <v>77884.1816098255</v>
      </c>
      <c r="C342" s="13" t="n">
        <v>77619.2948893904</v>
      </c>
      <c r="D342" s="14" t="n">
        <v>1914</v>
      </c>
      <c r="E342" s="15" t="n">
        <f aca="false">B342/D342</f>
        <v>40.6918399215389</v>
      </c>
      <c r="F342" s="15" t="n">
        <f aca="false">C342/D342</f>
        <v>40.5534456057421</v>
      </c>
      <c r="G342" s="13" t="n">
        <f aca="false">B342-C342</f>
        <v>264.886720435097</v>
      </c>
      <c r="H342" s="16" t="n">
        <f aca="false">G342/B342</f>
        <v>0.00340103362403028</v>
      </c>
      <c r="I342" s="15" t="n">
        <f aca="false">G342/D342</f>
        <v>0.138394315796812</v>
      </c>
      <c r="J342" s="16" t="n">
        <f aca="false">I342/E342</f>
        <v>0.00340103362403028</v>
      </c>
      <c r="K342" s="17" t="str">
        <f aca="false">TEXT(A342,"dddd")</f>
        <v>Friday</v>
      </c>
      <c r="L342" s="17" t="str">
        <f aca="false">IF(AND(A342&gt;=DATE(2014,9,24),A342&lt;=DATE(2014,10,6)),"Promo 1",IF(AND(A342&gt;=DATE(2014,9,10),A342&lt;=DATE(2014,9,23)),"Baseline 1",IF(AND(A342&gt;=DATE(2015,9,23),A342&lt;=DATE(2015,10,6)),"Promo 2",IF(AND(A342&gt;=DATE(2015,9,9),A342&lt;=DATE(2015,9,22)),"Baseline 2",IF(AND(A342&gt;=DATE(2016,6,23),A342&lt;=DATE(2016,7,6)),"Promo 3",IF(AND(A342&gt;=DATE(2016,6,9),A342&lt;=DATE(2016,6,22)),"Baseline 3","Other"))))))</f>
        <v>Other</v>
      </c>
    </row>
    <row r="343" customFormat="false" ht="15" hidden="false" customHeight="true" outlineLevel="0" collapsed="false">
      <c r="A343" s="12" t="n">
        <v>41979</v>
      </c>
      <c r="B343" s="13" t="n">
        <v>150370.116723676</v>
      </c>
      <c r="C343" s="13" t="n">
        <v>154998.834581877</v>
      </c>
      <c r="D343" s="14" t="n">
        <v>3765</v>
      </c>
      <c r="E343" s="15" t="n">
        <f aca="false">B343/D343</f>
        <v>39.9389420248807</v>
      </c>
      <c r="F343" s="15" t="n">
        <f aca="false">C343/D343</f>
        <v>41.1683491585331</v>
      </c>
      <c r="G343" s="13" t="n">
        <f aca="false">B343-C343</f>
        <v>-4628.71785820098</v>
      </c>
      <c r="H343" s="16" t="n">
        <f aca="false">G343/B343</f>
        <v>-0.0307821657590838</v>
      </c>
      <c r="I343" s="15" t="n">
        <f aca="false">G343/D343</f>
        <v>-1.22940713365232</v>
      </c>
      <c r="J343" s="16" t="n">
        <f aca="false">I343/E343</f>
        <v>-0.0307821657590838</v>
      </c>
      <c r="K343" s="17" t="str">
        <f aca="false">TEXT(A343,"dddd")</f>
        <v>Saturday</v>
      </c>
      <c r="L343" s="17" t="str">
        <f aca="false">IF(AND(A343&gt;=DATE(2014,9,24),A343&lt;=DATE(2014,10,6)),"Promo 1",IF(AND(A343&gt;=DATE(2014,9,10),A343&lt;=DATE(2014,9,23)),"Baseline 1",IF(AND(A343&gt;=DATE(2015,9,23),A343&lt;=DATE(2015,10,6)),"Promo 2",IF(AND(A343&gt;=DATE(2015,9,9),A343&lt;=DATE(2015,9,22)),"Baseline 2",IF(AND(A343&gt;=DATE(2016,6,23),A343&lt;=DATE(2016,7,6)),"Promo 3",IF(AND(A343&gt;=DATE(2016,6,9),A343&lt;=DATE(2016,6,22)),"Baseline 3","Other"))))))</f>
        <v>Other</v>
      </c>
    </row>
    <row r="344" customFormat="false" ht="15" hidden="false" customHeight="true" outlineLevel="0" collapsed="false">
      <c r="A344" s="12" t="n">
        <v>41980</v>
      </c>
      <c r="B344" s="13" t="n">
        <v>104675.376115349</v>
      </c>
      <c r="C344" s="13" t="n">
        <v>111903.737902479</v>
      </c>
      <c r="D344" s="14" t="n">
        <v>2712</v>
      </c>
      <c r="E344" s="15" t="n">
        <f aca="false">B344/D344</f>
        <v>38.5971150867806</v>
      </c>
      <c r="F344" s="15" t="n">
        <f aca="false">C344/D344</f>
        <v>41.2624402295277</v>
      </c>
      <c r="G344" s="13" t="n">
        <f aca="false">B344-C344</f>
        <v>-7228.36178712999</v>
      </c>
      <c r="H344" s="16" t="n">
        <f aca="false">G344/B344</f>
        <v>-0.0690550352469196</v>
      </c>
      <c r="I344" s="15" t="n">
        <f aca="false">G344/D344</f>
        <v>-2.66532514274705</v>
      </c>
      <c r="J344" s="16" t="n">
        <f aca="false">I344/E344</f>
        <v>-0.0690550352469196</v>
      </c>
      <c r="K344" s="17" t="str">
        <f aca="false">TEXT(A344,"dddd")</f>
        <v>Sunday</v>
      </c>
      <c r="L344" s="17" t="str">
        <f aca="false">IF(AND(A344&gt;=DATE(2014,9,24),A344&lt;=DATE(2014,10,6)),"Promo 1",IF(AND(A344&gt;=DATE(2014,9,10),A344&lt;=DATE(2014,9,23)),"Baseline 1",IF(AND(A344&gt;=DATE(2015,9,23),A344&lt;=DATE(2015,10,6)),"Promo 2",IF(AND(A344&gt;=DATE(2015,9,9),A344&lt;=DATE(2015,9,22)),"Baseline 2",IF(AND(A344&gt;=DATE(2016,6,23),A344&lt;=DATE(2016,7,6)),"Promo 3",IF(AND(A344&gt;=DATE(2016,6,9),A344&lt;=DATE(2016,6,22)),"Baseline 3","Other"))))))</f>
        <v>Other</v>
      </c>
    </row>
    <row r="345" customFormat="false" ht="15" hidden="false" customHeight="true" outlineLevel="0" collapsed="false">
      <c r="A345" s="12" t="n">
        <v>41981</v>
      </c>
      <c r="B345" s="13" t="n">
        <v>90121.5304750648</v>
      </c>
      <c r="C345" s="13" t="n">
        <v>91081.6681940862</v>
      </c>
      <c r="D345" s="14" t="n">
        <v>2222</v>
      </c>
      <c r="E345" s="15" t="n">
        <f aca="false">B345/D345</f>
        <v>40.558744588238</v>
      </c>
      <c r="F345" s="15" t="n">
        <f aca="false">C345/D345</f>
        <v>40.990849772316</v>
      </c>
      <c r="G345" s="13" t="n">
        <f aca="false">B345-C345</f>
        <v>-960.137719021397</v>
      </c>
      <c r="H345" s="16" t="n">
        <f aca="false">G345/B345</f>
        <v>-0.0106538106261639</v>
      </c>
      <c r="I345" s="15" t="n">
        <f aca="false">G345/D345</f>
        <v>-0.432105184078037</v>
      </c>
      <c r="J345" s="16" t="n">
        <f aca="false">I345/E345</f>
        <v>-0.0106538106261639</v>
      </c>
      <c r="K345" s="17" t="str">
        <f aca="false">TEXT(A345,"dddd")</f>
        <v>Monday</v>
      </c>
      <c r="L345" s="17" t="str">
        <f aca="false">IF(AND(A345&gt;=DATE(2014,9,24),A345&lt;=DATE(2014,10,6)),"Promo 1",IF(AND(A345&gt;=DATE(2014,9,10),A345&lt;=DATE(2014,9,23)),"Baseline 1",IF(AND(A345&gt;=DATE(2015,9,23),A345&lt;=DATE(2015,10,6)),"Promo 2",IF(AND(A345&gt;=DATE(2015,9,9),A345&lt;=DATE(2015,9,22)),"Baseline 2",IF(AND(A345&gt;=DATE(2016,6,23),A345&lt;=DATE(2016,7,6)),"Promo 3",IF(AND(A345&gt;=DATE(2016,6,9),A345&lt;=DATE(2016,6,22)),"Baseline 3","Other"))))))</f>
        <v>Other</v>
      </c>
    </row>
    <row r="346" customFormat="false" ht="15" hidden="false" customHeight="true" outlineLevel="0" collapsed="false">
      <c r="A346" s="12" t="n">
        <v>41982</v>
      </c>
      <c r="B346" s="13" t="n">
        <v>75425.4436982905</v>
      </c>
      <c r="C346" s="13" t="n">
        <v>77014.2559603056</v>
      </c>
      <c r="D346" s="14" t="n">
        <v>1861</v>
      </c>
      <c r="E346" s="15" t="n">
        <f aca="false">B346/D346</f>
        <v>40.5295237497531</v>
      </c>
      <c r="F346" s="15" t="n">
        <f aca="false">C346/D346</f>
        <v>41.3832648900084</v>
      </c>
      <c r="G346" s="13" t="n">
        <f aca="false">B346-C346</f>
        <v>-1588.8122620151</v>
      </c>
      <c r="H346" s="16" t="n">
        <f aca="false">G346/B346</f>
        <v>-0.0210646723984881</v>
      </c>
      <c r="I346" s="15" t="n">
        <f aca="false">G346/D346</f>
        <v>-0.853741140255291</v>
      </c>
      <c r="J346" s="16" t="n">
        <f aca="false">I346/E346</f>
        <v>-0.0210646723984881</v>
      </c>
      <c r="K346" s="17" t="str">
        <f aca="false">TEXT(A346,"dddd")</f>
        <v>Tuesday</v>
      </c>
      <c r="L346" s="17" t="str">
        <f aca="false">IF(AND(A346&gt;=DATE(2014,9,24),A346&lt;=DATE(2014,10,6)),"Promo 1",IF(AND(A346&gt;=DATE(2014,9,10),A346&lt;=DATE(2014,9,23)),"Baseline 1",IF(AND(A346&gt;=DATE(2015,9,23),A346&lt;=DATE(2015,10,6)),"Promo 2",IF(AND(A346&gt;=DATE(2015,9,9),A346&lt;=DATE(2015,9,22)),"Baseline 2",IF(AND(A346&gt;=DATE(2016,6,23),A346&lt;=DATE(2016,7,6)),"Promo 3",IF(AND(A346&gt;=DATE(2016,6,9),A346&lt;=DATE(2016,6,22)),"Baseline 3","Other"))))))</f>
        <v>Other</v>
      </c>
    </row>
    <row r="347" customFormat="false" ht="15" hidden="false" customHeight="true" outlineLevel="0" collapsed="false">
      <c r="A347" s="12" t="n">
        <v>41983</v>
      </c>
      <c r="B347" s="13" t="n">
        <v>161844.809435674</v>
      </c>
      <c r="C347" s="13" t="n">
        <v>169348.518584865</v>
      </c>
      <c r="D347" s="14" t="n">
        <v>4095</v>
      </c>
      <c r="E347" s="15" t="n">
        <f aca="false">B347/D347</f>
        <v>39.5225419867336</v>
      </c>
      <c r="F347" s="15" t="n">
        <f aca="false">C347/D347</f>
        <v>41.3549495933736</v>
      </c>
      <c r="G347" s="13" t="n">
        <f aca="false">B347-C347</f>
        <v>-7503.70914919101</v>
      </c>
      <c r="H347" s="16" t="n">
        <f aca="false">G347/B347</f>
        <v>-0.046363607058856</v>
      </c>
      <c r="I347" s="15" t="n">
        <f aca="false">G347/D347</f>
        <v>-1.83240760664005</v>
      </c>
      <c r="J347" s="16" t="n">
        <f aca="false">I347/E347</f>
        <v>-0.046363607058856</v>
      </c>
      <c r="K347" s="17" t="str">
        <f aca="false">TEXT(A347,"dddd")</f>
        <v>Wednesday</v>
      </c>
      <c r="L347" s="17" t="str">
        <f aca="false">IF(AND(A347&gt;=DATE(2014,9,24),A347&lt;=DATE(2014,10,6)),"Promo 1",IF(AND(A347&gt;=DATE(2014,9,10),A347&lt;=DATE(2014,9,23)),"Baseline 1",IF(AND(A347&gt;=DATE(2015,9,23),A347&lt;=DATE(2015,10,6)),"Promo 2",IF(AND(A347&gt;=DATE(2015,9,9),A347&lt;=DATE(2015,9,22)),"Baseline 2",IF(AND(A347&gt;=DATE(2016,6,23),A347&lt;=DATE(2016,7,6)),"Promo 3",IF(AND(A347&gt;=DATE(2016,6,9),A347&lt;=DATE(2016,6,22)),"Baseline 3","Other"))))))</f>
        <v>Other</v>
      </c>
    </row>
    <row r="348" customFormat="false" ht="15" hidden="false" customHeight="true" outlineLevel="0" collapsed="false">
      <c r="A348" s="12" t="n">
        <v>41984</v>
      </c>
      <c r="B348" s="13" t="n">
        <v>158603.356968004</v>
      </c>
      <c r="C348" s="13" t="n">
        <v>171692.993606534</v>
      </c>
      <c r="D348" s="14" t="n">
        <v>4157</v>
      </c>
      <c r="E348" s="15" t="n">
        <f aca="false">B348/D348</f>
        <v>38.1533213779177</v>
      </c>
      <c r="F348" s="15" t="n">
        <f aca="false">C348/D348</f>
        <v>41.3021394290435</v>
      </c>
      <c r="G348" s="13" t="n">
        <f aca="false">B348-C348</f>
        <v>-13089.63663853</v>
      </c>
      <c r="H348" s="16" t="n">
        <f aca="false">G348/B348</f>
        <v>-0.0825306405158288</v>
      </c>
      <c r="I348" s="15" t="n">
        <f aca="false">G348/D348</f>
        <v>-3.14881805112581</v>
      </c>
      <c r="J348" s="16" t="n">
        <f aca="false">I348/E348</f>
        <v>-0.0825306405158288</v>
      </c>
      <c r="K348" s="17" t="str">
        <f aca="false">TEXT(A348,"dddd")</f>
        <v>Thursday</v>
      </c>
      <c r="L348" s="17" t="str">
        <f aca="false">IF(AND(A348&gt;=DATE(2014,9,24),A348&lt;=DATE(2014,10,6)),"Promo 1",IF(AND(A348&gt;=DATE(2014,9,10),A348&lt;=DATE(2014,9,23)),"Baseline 1",IF(AND(A348&gt;=DATE(2015,9,23),A348&lt;=DATE(2015,10,6)),"Promo 2",IF(AND(A348&gt;=DATE(2015,9,9),A348&lt;=DATE(2015,9,22)),"Baseline 2",IF(AND(A348&gt;=DATE(2016,6,23),A348&lt;=DATE(2016,7,6)),"Promo 3",IF(AND(A348&gt;=DATE(2016,6,9),A348&lt;=DATE(2016,6,22)),"Baseline 3","Other"))))))</f>
        <v>Other</v>
      </c>
    </row>
    <row r="349" customFormat="false" ht="15" hidden="false" customHeight="true" outlineLevel="0" collapsed="false">
      <c r="A349" s="12" t="n">
        <v>41985</v>
      </c>
      <c r="B349" s="13" t="n">
        <v>279092.09595645</v>
      </c>
      <c r="C349" s="13" t="n">
        <v>301236.10987981</v>
      </c>
      <c r="D349" s="14" t="n">
        <v>7259</v>
      </c>
      <c r="E349" s="15" t="n">
        <f aca="false">B349/D349</f>
        <v>38.4477332905979</v>
      </c>
      <c r="F349" s="15" t="n">
        <f aca="false">C349/D349</f>
        <v>41.4982931367695</v>
      </c>
      <c r="G349" s="13" t="n">
        <f aca="false">B349-C349</f>
        <v>-22144.01392336</v>
      </c>
      <c r="H349" s="16" t="n">
        <f aca="false">G349/B349</f>
        <v>-0.0793430349486337</v>
      </c>
      <c r="I349" s="15" t="n">
        <f aca="false">G349/D349</f>
        <v>-3.05055984617165</v>
      </c>
      <c r="J349" s="16" t="n">
        <f aca="false">I349/E349</f>
        <v>-0.0793430349486337</v>
      </c>
      <c r="K349" s="17" t="str">
        <f aca="false">TEXT(A349,"dddd")</f>
        <v>Friday</v>
      </c>
      <c r="L349" s="17" t="str">
        <f aca="false">IF(AND(A349&gt;=DATE(2014,9,24),A349&lt;=DATE(2014,10,6)),"Promo 1",IF(AND(A349&gt;=DATE(2014,9,10),A349&lt;=DATE(2014,9,23)),"Baseline 1",IF(AND(A349&gt;=DATE(2015,9,23),A349&lt;=DATE(2015,10,6)),"Promo 2",IF(AND(A349&gt;=DATE(2015,9,9),A349&lt;=DATE(2015,9,22)),"Baseline 2",IF(AND(A349&gt;=DATE(2016,6,23),A349&lt;=DATE(2016,7,6)),"Promo 3",IF(AND(A349&gt;=DATE(2016,6,9),A349&lt;=DATE(2016,6,22)),"Baseline 3","Other"))))))</f>
        <v>Other</v>
      </c>
    </row>
    <row r="350" customFormat="false" ht="15" hidden="false" customHeight="true" outlineLevel="0" collapsed="false">
      <c r="A350" s="12" t="n">
        <v>41986</v>
      </c>
      <c r="B350" s="13" t="n">
        <v>369350.989480898</v>
      </c>
      <c r="C350" s="13" t="n">
        <v>402564.678627585</v>
      </c>
      <c r="D350" s="14" t="n">
        <v>9654</v>
      </c>
      <c r="E350" s="15" t="n">
        <f aca="false">B350/D350</f>
        <v>38.2588553429561</v>
      </c>
      <c r="F350" s="15" t="n">
        <f aca="false">C350/D350</f>
        <v>41.6992623397126</v>
      </c>
      <c r="G350" s="13" t="n">
        <f aca="false">B350-C350</f>
        <v>-33213.689146687</v>
      </c>
      <c r="H350" s="16" t="n">
        <f aca="false">G350/B350</f>
        <v>-0.089924462347771</v>
      </c>
      <c r="I350" s="15" t="n">
        <f aca="false">G350/D350</f>
        <v>-3.44040699675647</v>
      </c>
      <c r="J350" s="16" t="n">
        <f aca="false">I350/E350</f>
        <v>-0.089924462347771</v>
      </c>
      <c r="K350" s="17" t="str">
        <f aca="false">TEXT(A350,"dddd")</f>
        <v>Saturday</v>
      </c>
      <c r="L350" s="17" t="str">
        <f aca="false">IF(AND(A350&gt;=DATE(2014,9,24),A350&lt;=DATE(2014,10,6)),"Promo 1",IF(AND(A350&gt;=DATE(2014,9,10),A350&lt;=DATE(2014,9,23)),"Baseline 1",IF(AND(A350&gt;=DATE(2015,9,23),A350&lt;=DATE(2015,10,6)),"Promo 2",IF(AND(A350&gt;=DATE(2015,9,9),A350&lt;=DATE(2015,9,22)),"Baseline 2",IF(AND(A350&gt;=DATE(2016,6,23),A350&lt;=DATE(2016,7,6)),"Promo 3",IF(AND(A350&gt;=DATE(2016,6,9),A350&lt;=DATE(2016,6,22)),"Baseline 3","Other"))))))</f>
        <v>Other</v>
      </c>
    </row>
    <row r="351" customFormat="false" ht="15" hidden="false" customHeight="true" outlineLevel="0" collapsed="false">
      <c r="A351" s="12" t="n">
        <v>41987</v>
      </c>
      <c r="B351" s="13" t="n">
        <v>177500.107725609</v>
      </c>
      <c r="C351" s="13" t="n">
        <v>192327.320656122</v>
      </c>
      <c r="D351" s="14" t="n">
        <v>4632</v>
      </c>
      <c r="E351" s="15" t="n">
        <f aca="false">B351/D351</f>
        <v>38.3204032222817</v>
      </c>
      <c r="F351" s="15" t="n">
        <f aca="false">C351/D351</f>
        <v>41.5214422832733</v>
      </c>
      <c r="G351" s="13" t="n">
        <f aca="false">B351-C351</f>
        <v>-14827.212930513</v>
      </c>
      <c r="H351" s="16" t="n">
        <f aca="false">G351/B351</f>
        <v>-0.0835335432778094</v>
      </c>
      <c r="I351" s="15" t="n">
        <f aca="false">G351/D351</f>
        <v>-3.20103906099158</v>
      </c>
      <c r="J351" s="16" t="n">
        <f aca="false">I351/E351</f>
        <v>-0.0835335432778094</v>
      </c>
      <c r="K351" s="17" t="str">
        <f aca="false">TEXT(A351,"dddd")</f>
        <v>Sunday</v>
      </c>
      <c r="L351" s="17" t="str">
        <f aca="false">IF(AND(A351&gt;=DATE(2014,9,24),A351&lt;=DATE(2014,10,6)),"Promo 1",IF(AND(A351&gt;=DATE(2014,9,10),A351&lt;=DATE(2014,9,23)),"Baseline 1",IF(AND(A351&gt;=DATE(2015,9,23),A351&lt;=DATE(2015,10,6)),"Promo 2",IF(AND(A351&gt;=DATE(2015,9,9),A351&lt;=DATE(2015,9,22)),"Baseline 2",IF(AND(A351&gt;=DATE(2016,6,23),A351&lt;=DATE(2016,7,6)),"Promo 3",IF(AND(A351&gt;=DATE(2016,6,9),A351&lt;=DATE(2016,6,22)),"Baseline 3","Other"))))))</f>
        <v>Other</v>
      </c>
    </row>
    <row r="352" customFormat="false" ht="15" hidden="false" customHeight="true" outlineLevel="0" collapsed="false">
      <c r="A352" s="12" t="n">
        <v>41988</v>
      </c>
      <c r="B352" s="13" t="n">
        <v>282246.628678288</v>
      </c>
      <c r="C352" s="13" t="n">
        <v>304489.638251931</v>
      </c>
      <c r="D352" s="14" t="n">
        <v>7341</v>
      </c>
      <c r="E352" s="15" t="n">
        <f aca="false">B352/D352</f>
        <v>38.447981021426</v>
      </c>
      <c r="F352" s="15" t="n">
        <f aca="false">C352/D352</f>
        <v>41.477950994678</v>
      </c>
      <c r="G352" s="13" t="n">
        <f aca="false">B352-C352</f>
        <v>-22243.009573643</v>
      </c>
      <c r="H352" s="16" t="n">
        <f aca="false">G352/B352</f>
        <v>-0.0788069982546935</v>
      </c>
      <c r="I352" s="15" t="n">
        <f aca="false">G352/D352</f>
        <v>-3.02996997325201</v>
      </c>
      <c r="J352" s="16" t="n">
        <f aca="false">I352/E352</f>
        <v>-0.0788069982546935</v>
      </c>
      <c r="K352" s="17" t="str">
        <f aca="false">TEXT(A352,"dddd")</f>
        <v>Monday</v>
      </c>
      <c r="L352" s="17" t="str">
        <f aca="false">IF(AND(A352&gt;=DATE(2014,9,24),A352&lt;=DATE(2014,10,6)),"Promo 1",IF(AND(A352&gt;=DATE(2014,9,10),A352&lt;=DATE(2014,9,23)),"Baseline 1",IF(AND(A352&gt;=DATE(2015,9,23),A352&lt;=DATE(2015,10,6)),"Promo 2",IF(AND(A352&gt;=DATE(2015,9,9),A352&lt;=DATE(2015,9,22)),"Baseline 2",IF(AND(A352&gt;=DATE(2016,6,23),A352&lt;=DATE(2016,7,6)),"Promo 3",IF(AND(A352&gt;=DATE(2016,6,9),A352&lt;=DATE(2016,6,22)),"Baseline 3","Other"))))))</f>
        <v>Other</v>
      </c>
    </row>
    <row r="353" customFormat="false" ht="15" hidden="false" customHeight="true" outlineLevel="0" collapsed="false">
      <c r="A353" s="12" t="n">
        <v>41989</v>
      </c>
      <c r="B353" s="13" t="n">
        <v>166037.925729514</v>
      </c>
      <c r="C353" s="13" t="n">
        <v>179571.129079941</v>
      </c>
      <c r="D353" s="14" t="n">
        <v>4308</v>
      </c>
      <c r="E353" s="15" t="n">
        <f aca="false">B353/D353</f>
        <v>38.5417654896736</v>
      </c>
      <c r="F353" s="15" t="n">
        <f aca="false">C353/D353</f>
        <v>41.6831775951581</v>
      </c>
      <c r="G353" s="13" t="n">
        <f aca="false">B353-C353</f>
        <v>-13533.203350427</v>
      </c>
      <c r="H353" s="16" t="n">
        <f aca="false">G353/B353</f>
        <v>-0.0815066996950648</v>
      </c>
      <c r="I353" s="15" t="n">
        <f aca="false">G353/D353</f>
        <v>-3.14141210548444</v>
      </c>
      <c r="J353" s="16" t="n">
        <f aca="false">I353/E353</f>
        <v>-0.0815066996950648</v>
      </c>
      <c r="K353" s="17" t="str">
        <f aca="false">TEXT(A353,"dddd")</f>
        <v>Tuesday</v>
      </c>
      <c r="L353" s="17" t="str">
        <f aca="false">IF(AND(A353&gt;=DATE(2014,9,24),A353&lt;=DATE(2014,10,6)),"Promo 1",IF(AND(A353&gt;=DATE(2014,9,10),A353&lt;=DATE(2014,9,23)),"Baseline 1",IF(AND(A353&gt;=DATE(2015,9,23),A353&lt;=DATE(2015,10,6)),"Promo 2",IF(AND(A353&gt;=DATE(2015,9,9),A353&lt;=DATE(2015,9,22)),"Baseline 2",IF(AND(A353&gt;=DATE(2016,6,23),A353&lt;=DATE(2016,7,6)),"Promo 3",IF(AND(A353&gt;=DATE(2016,6,9),A353&lt;=DATE(2016,6,22)),"Baseline 3","Other"))))))</f>
        <v>Other</v>
      </c>
    </row>
    <row r="354" customFormat="false" ht="15" hidden="false" customHeight="true" outlineLevel="0" collapsed="false">
      <c r="A354" s="12" t="n">
        <v>41990</v>
      </c>
      <c r="B354" s="13" t="n">
        <v>148910.998360159</v>
      </c>
      <c r="C354" s="13" t="n">
        <v>161137.522003048</v>
      </c>
      <c r="D354" s="14" t="n">
        <v>3865</v>
      </c>
      <c r="E354" s="15" t="n">
        <f aca="false">B354/D354</f>
        <v>38.5280720207397</v>
      </c>
      <c r="F354" s="15" t="n">
        <f aca="false">C354/D354</f>
        <v>41.691467529896</v>
      </c>
      <c r="G354" s="13" t="n">
        <f aca="false">B354-C354</f>
        <v>-12226.523642889</v>
      </c>
      <c r="H354" s="16" t="n">
        <f aca="false">G354/B354</f>
        <v>-0.0821062498910773</v>
      </c>
      <c r="I354" s="15" t="n">
        <f aca="false">G354/D354</f>
        <v>-3.16339550915628</v>
      </c>
      <c r="J354" s="16" t="n">
        <f aca="false">I354/E354</f>
        <v>-0.0821062498910773</v>
      </c>
      <c r="K354" s="17" t="str">
        <f aca="false">TEXT(A354,"dddd")</f>
        <v>Wednesday</v>
      </c>
      <c r="L354" s="17" t="str">
        <f aca="false">IF(AND(A354&gt;=DATE(2014,9,24),A354&lt;=DATE(2014,10,6)),"Promo 1",IF(AND(A354&gt;=DATE(2014,9,10),A354&lt;=DATE(2014,9,23)),"Baseline 1",IF(AND(A354&gt;=DATE(2015,9,23),A354&lt;=DATE(2015,10,6)),"Promo 2",IF(AND(A354&gt;=DATE(2015,9,9),A354&lt;=DATE(2015,9,22)),"Baseline 2",IF(AND(A354&gt;=DATE(2016,6,23),A354&lt;=DATE(2016,7,6)),"Promo 3",IF(AND(A354&gt;=DATE(2016,6,9),A354&lt;=DATE(2016,6,22)),"Baseline 3","Other"))))))</f>
        <v>Other</v>
      </c>
    </row>
    <row r="355" customFormat="false" ht="15" hidden="false" customHeight="true" outlineLevel="0" collapsed="false">
      <c r="A355" s="12" t="n">
        <v>41991</v>
      </c>
      <c r="B355" s="13" t="n">
        <v>202359.142899871</v>
      </c>
      <c r="C355" s="13" t="n">
        <v>221435.768649636</v>
      </c>
      <c r="D355" s="14" t="n">
        <v>5288</v>
      </c>
      <c r="E355" s="15" t="n">
        <f aca="false">B355/D355</f>
        <v>38.2676140128349</v>
      </c>
      <c r="F355" s="15" t="n">
        <f aca="false">C355/D355</f>
        <v>41.8751453573442</v>
      </c>
      <c r="G355" s="13" t="n">
        <f aca="false">B355-C355</f>
        <v>-19076.625749765</v>
      </c>
      <c r="H355" s="16" t="n">
        <f aca="false">G355/B355</f>
        <v>-0.0942711333740146</v>
      </c>
      <c r="I355" s="15" t="n">
        <f aca="false">G355/D355</f>
        <v>-3.60753134450927</v>
      </c>
      <c r="J355" s="16" t="n">
        <f aca="false">I355/E355</f>
        <v>-0.0942711333740146</v>
      </c>
      <c r="K355" s="17" t="str">
        <f aca="false">TEXT(A355,"dddd")</f>
        <v>Thursday</v>
      </c>
      <c r="L355" s="17" t="str">
        <f aca="false">IF(AND(A355&gt;=DATE(2014,9,24),A355&lt;=DATE(2014,10,6)),"Promo 1",IF(AND(A355&gt;=DATE(2014,9,10),A355&lt;=DATE(2014,9,23)),"Baseline 1",IF(AND(A355&gt;=DATE(2015,9,23),A355&lt;=DATE(2015,10,6)),"Promo 2",IF(AND(A355&gt;=DATE(2015,9,9),A355&lt;=DATE(2015,9,22)),"Baseline 2",IF(AND(A355&gt;=DATE(2016,6,23),A355&lt;=DATE(2016,7,6)),"Promo 3",IF(AND(A355&gt;=DATE(2016,6,9),A355&lt;=DATE(2016,6,22)),"Baseline 3","Other"))))))</f>
        <v>Other</v>
      </c>
    </row>
    <row r="356" customFormat="false" ht="15" hidden="false" customHeight="true" outlineLevel="0" collapsed="false">
      <c r="A356" s="12" t="n">
        <v>41992</v>
      </c>
      <c r="B356" s="13" t="n">
        <v>274343.654345234</v>
      </c>
      <c r="C356" s="13" t="n">
        <v>299516.837764983</v>
      </c>
      <c r="D356" s="14" t="n">
        <v>7141</v>
      </c>
      <c r="E356" s="15" t="n">
        <f aca="false">B356/D356</f>
        <v>38.4181003144145</v>
      </c>
      <c r="F356" s="15" t="n">
        <f aca="false">C356/D356</f>
        <v>41.9432625353568</v>
      </c>
      <c r="G356" s="13" t="n">
        <f aca="false">B356-C356</f>
        <v>-25173.183419749</v>
      </c>
      <c r="H356" s="16" t="n">
        <f aca="false">G356/B356</f>
        <v>-0.0917578483082794</v>
      </c>
      <c r="I356" s="15" t="n">
        <f aca="false">G356/D356</f>
        <v>-3.52516222094231</v>
      </c>
      <c r="J356" s="16" t="n">
        <f aca="false">I356/E356</f>
        <v>-0.0917578483082794</v>
      </c>
      <c r="K356" s="17" t="str">
        <f aca="false">TEXT(A356,"dddd")</f>
        <v>Friday</v>
      </c>
      <c r="L356" s="17" t="str">
        <f aca="false">IF(AND(A356&gt;=DATE(2014,9,24),A356&lt;=DATE(2014,10,6)),"Promo 1",IF(AND(A356&gt;=DATE(2014,9,10),A356&lt;=DATE(2014,9,23)),"Baseline 1",IF(AND(A356&gt;=DATE(2015,9,23),A356&lt;=DATE(2015,10,6)),"Promo 2",IF(AND(A356&gt;=DATE(2015,9,9),A356&lt;=DATE(2015,9,22)),"Baseline 2",IF(AND(A356&gt;=DATE(2016,6,23),A356&lt;=DATE(2016,7,6)),"Promo 3",IF(AND(A356&gt;=DATE(2016,6,9),A356&lt;=DATE(2016,6,22)),"Baseline 3","Other"))))))</f>
        <v>Other</v>
      </c>
    </row>
    <row r="357" customFormat="false" ht="15" hidden="false" customHeight="true" outlineLevel="0" collapsed="false">
      <c r="A357" s="12" t="n">
        <v>41993</v>
      </c>
      <c r="B357" s="13" t="n">
        <v>316167.074658573</v>
      </c>
      <c r="C357" s="13" t="n">
        <v>346378.304767848</v>
      </c>
      <c r="D357" s="14" t="n">
        <v>8268</v>
      </c>
      <c r="E357" s="15" t="n">
        <f aca="false">B357/D357</f>
        <v>38.2398493781535</v>
      </c>
      <c r="F357" s="15" t="n">
        <f aca="false">C357/D357</f>
        <v>41.8938443115443</v>
      </c>
      <c r="G357" s="13" t="n">
        <f aca="false">B357-C357</f>
        <v>-30211.230109275</v>
      </c>
      <c r="H357" s="16" t="n">
        <f aca="false">G357/B357</f>
        <v>-0.095554637186367</v>
      </c>
      <c r="I357" s="15" t="n">
        <f aca="false">G357/D357</f>
        <v>-3.65399493339078</v>
      </c>
      <c r="J357" s="16" t="n">
        <f aca="false">I357/E357</f>
        <v>-0.0955546371863671</v>
      </c>
      <c r="K357" s="17" t="str">
        <f aca="false">TEXT(A357,"dddd")</f>
        <v>Saturday</v>
      </c>
      <c r="L357" s="17" t="str">
        <f aca="false">IF(AND(A357&gt;=DATE(2014,9,24),A357&lt;=DATE(2014,10,6)),"Promo 1",IF(AND(A357&gt;=DATE(2014,9,10),A357&lt;=DATE(2014,9,23)),"Baseline 1",IF(AND(A357&gt;=DATE(2015,9,23),A357&lt;=DATE(2015,10,6)),"Promo 2",IF(AND(A357&gt;=DATE(2015,9,9),A357&lt;=DATE(2015,9,22)),"Baseline 2",IF(AND(A357&gt;=DATE(2016,6,23),A357&lt;=DATE(2016,7,6)),"Promo 3",IF(AND(A357&gt;=DATE(2016,6,9),A357&lt;=DATE(2016,6,22)),"Baseline 3","Other"))))))</f>
        <v>Other</v>
      </c>
    </row>
    <row r="358" customFormat="false" ht="15" hidden="false" customHeight="true" outlineLevel="0" collapsed="false">
      <c r="A358" s="12" t="n">
        <v>41994</v>
      </c>
      <c r="B358" s="13" t="n">
        <v>173833.400128414</v>
      </c>
      <c r="C358" s="13" t="n">
        <v>190644.501568692</v>
      </c>
      <c r="D358" s="14" t="n">
        <v>4541</v>
      </c>
      <c r="E358" s="15" t="n">
        <f aca="false">B358/D358</f>
        <v>38.2808632742599</v>
      </c>
      <c r="F358" s="15" t="n">
        <f aca="false">C358/D358</f>
        <v>41.9829336200599</v>
      </c>
      <c r="G358" s="13" t="n">
        <f aca="false">B358-C358</f>
        <v>-16811.101440278</v>
      </c>
      <c r="H358" s="16" t="n">
        <f aca="false">G358/B358</f>
        <v>-0.0967081206940629</v>
      </c>
      <c r="I358" s="15" t="n">
        <f aca="false">G358/D358</f>
        <v>-3.70207034580004</v>
      </c>
      <c r="J358" s="16" t="n">
        <f aca="false">I358/E358</f>
        <v>-0.0967081206940629</v>
      </c>
      <c r="K358" s="17" t="str">
        <f aca="false">TEXT(A358,"dddd")</f>
        <v>Sunday</v>
      </c>
      <c r="L358" s="17" t="str">
        <f aca="false">IF(AND(A358&gt;=DATE(2014,9,24),A358&lt;=DATE(2014,10,6)),"Promo 1",IF(AND(A358&gt;=DATE(2014,9,10),A358&lt;=DATE(2014,9,23)),"Baseline 1",IF(AND(A358&gt;=DATE(2015,9,23),A358&lt;=DATE(2015,10,6)),"Promo 2",IF(AND(A358&gt;=DATE(2015,9,9),A358&lt;=DATE(2015,9,22)),"Baseline 2",IF(AND(A358&gt;=DATE(2016,6,23),A358&lt;=DATE(2016,7,6)),"Promo 3",IF(AND(A358&gt;=DATE(2016,6,9),A358&lt;=DATE(2016,6,22)),"Baseline 3","Other"))))))</f>
        <v>Other</v>
      </c>
    </row>
    <row r="359" customFormat="false" ht="15" hidden="false" customHeight="true" outlineLevel="0" collapsed="false">
      <c r="A359" s="12" t="n">
        <v>41995</v>
      </c>
      <c r="B359" s="13" t="n">
        <v>204565.081835412</v>
      </c>
      <c r="C359" s="13" t="n">
        <v>210188.909410448</v>
      </c>
      <c r="D359" s="14" t="n">
        <v>5014</v>
      </c>
      <c r="E359" s="15" t="n">
        <f aca="false">B359/D359</f>
        <v>40.7987797836881</v>
      </c>
      <c r="F359" s="15" t="n">
        <f aca="false">C359/D359</f>
        <v>41.920404748793</v>
      </c>
      <c r="G359" s="13" t="n">
        <f aca="false">B359-C359</f>
        <v>-5623.82757503598</v>
      </c>
      <c r="H359" s="16" t="n">
        <f aca="false">G359/B359</f>
        <v>-0.0274916301676587</v>
      </c>
      <c r="I359" s="15" t="n">
        <f aca="false">G359/D359</f>
        <v>-1.1216249651049</v>
      </c>
      <c r="J359" s="16" t="n">
        <f aca="false">I359/E359</f>
        <v>-0.0274916301676587</v>
      </c>
      <c r="K359" s="17" t="str">
        <f aca="false">TEXT(A359,"dddd")</f>
        <v>Monday</v>
      </c>
      <c r="L359" s="17" t="str">
        <f aca="false">IF(AND(A359&gt;=DATE(2014,9,24),A359&lt;=DATE(2014,10,6)),"Promo 1",IF(AND(A359&gt;=DATE(2014,9,10),A359&lt;=DATE(2014,9,23)),"Baseline 1",IF(AND(A359&gt;=DATE(2015,9,23),A359&lt;=DATE(2015,10,6)),"Promo 2",IF(AND(A359&gt;=DATE(2015,9,9),A359&lt;=DATE(2015,9,22)),"Baseline 2",IF(AND(A359&gt;=DATE(2016,6,23),A359&lt;=DATE(2016,7,6)),"Promo 3",IF(AND(A359&gt;=DATE(2016,6,9),A359&lt;=DATE(2016,6,22)),"Baseline 3","Other"))))))</f>
        <v>Other</v>
      </c>
    </row>
    <row r="360" customFormat="false" ht="15" hidden="false" customHeight="true" outlineLevel="0" collapsed="false">
      <c r="A360" s="12" t="n">
        <v>41996</v>
      </c>
      <c r="B360" s="13" t="n">
        <v>316394.730857309</v>
      </c>
      <c r="C360" s="13" t="n">
        <v>326627.138416376</v>
      </c>
      <c r="D360" s="14" t="n">
        <v>7778</v>
      </c>
      <c r="E360" s="15" t="n">
        <f aca="false">B360/D360</f>
        <v>40.6781603056453</v>
      </c>
      <c r="F360" s="15" t="n">
        <f aca="false">C360/D360</f>
        <v>41.9937179758776</v>
      </c>
      <c r="G360" s="13" t="n">
        <f aca="false">B360-C360</f>
        <v>-10232.407559067</v>
      </c>
      <c r="H360" s="16" t="n">
        <f aca="false">G360/B360</f>
        <v>-0.0323406383265015</v>
      </c>
      <c r="I360" s="15" t="n">
        <f aca="false">G360/D360</f>
        <v>-1.31555767023232</v>
      </c>
      <c r="J360" s="16" t="n">
        <f aca="false">I360/E360</f>
        <v>-0.0323406383265015</v>
      </c>
      <c r="K360" s="17" t="str">
        <f aca="false">TEXT(A360,"dddd")</f>
        <v>Tuesday</v>
      </c>
      <c r="L360" s="17" t="str">
        <f aca="false">IF(AND(A360&gt;=DATE(2014,9,24),A360&lt;=DATE(2014,10,6)),"Promo 1",IF(AND(A360&gt;=DATE(2014,9,10),A360&lt;=DATE(2014,9,23)),"Baseline 1",IF(AND(A360&gt;=DATE(2015,9,23),A360&lt;=DATE(2015,10,6)),"Promo 2",IF(AND(A360&gt;=DATE(2015,9,9),A360&lt;=DATE(2015,9,22)),"Baseline 2",IF(AND(A360&gt;=DATE(2016,6,23),A360&lt;=DATE(2016,7,6)),"Promo 3",IF(AND(A360&gt;=DATE(2016,6,9),A360&lt;=DATE(2016,6,22)),"Baseline 3","Other"))))))</f>
        <v>Other</v>
      </c>
    </row>
    <row r="361" customFormat="false" ht="15" hidden="false" customHeight="true" outlineLevel="0" collapsed="false">
      <c r="A361" s="12" t="n">
        <v>41997</v>
      </c>
      <c r="B361" s="13" t="n">
        <v>486230.320193628</v>
      </c>
      <c r="C361" s="13" t="n">
        <v>495909.089563396</v>
      </c>
      <c r="D361" s="14" t="n">
        <v>11809</v>
      </c>
      <c r="E361" s="15" t="n">
        <f aca="false">B361/D361</f>
        <v>41.1745550168201</v>
      </c>
      <c r="F361" s="15" t="n">
        <f aca="false">C361/D361</f>
        <v>41.9941645832328</v>
      </c>
      <c r="G361" s="13" t="n">
        <f aca="false">B361-C361</f>
        <v>-9678.76936976798</v>
      </c>
      <c r="H361" s="16" t="n">
        <f aca="false">G361/B361</f>
        <v>-0.0199057297905932</v>
      </c>
      <c r="I361" s="15" t="n">
        <f aca="false">G361/D361</f>
        <v>-0.819609566412734</v>
      </c>
      <c r="J361" s="16" t="n">
        <f aca="false">I361/E361</f>
        <v>-0.0199057297905932</v>
      </c>
      <c r="K361" s="17" t="str">
        <f aca="false">TEXT(A361,"dddd")</f>
        <v>Wednesday</v>
      </c>
      <c r="L361" s="17" t="str">
        <f aca="false">IF(AND(A361&gt;=DATE(2014,9,24),A361&lt;=DATE(2014,10,6)),"Promo 1",IF(AND(A361&gt;=DATE(2014,9,10),A361&lt;=DATE(2014,9,23)),"Baseline 1",IF(AND(A361&gt;=DATE(2015,9,23),A361&lt;=DATE(2015,10,6)),"Promo 2",IF(AND(A361&gt;=DATE(2015,9,9),A361&lt;=DATE(2015,9,22)),"Baseline 2",IF(AND(A361&gt;=DATE(2016,6,23),A361&lt;=DATE(2016,7,6)),"Promo 3",IF(AND(A361&gt;=DATE(2016,6,9),A361&lt;=DATE(2016,6,22)),"Baseline 3","Other"))))))</f>
        <v>Other</v>
      </c>
    </row>
    <row r="362" customFormat="false" ht="15" hidden="false" customHeight="true" outlineLevel="0" collapsed="false">
      <c r="A362" s="12" t="n">
        <v>41998</v>
      </c>
      <c r="B362" s="13" t="n">
        <v>137686.532100606</v>
      </c>
      <c r="C362" s="13" t="n">
        <v>140525.786741103</v>
      </c>
      <c r="D362" s="14" t="n">
        <v>3344</v>
      </c>
      <c r="E362" s="15" t="n">
        <f aca="false">B362/D362</f>
        <v>41.1742021831956</v>
      </c>
      <c r="F362" s="15" t="n">
        <f aca="false">C362/D362</f>
        <v>42.0232615852581</v>
      </c>
      <c r="G362" s="13" t="n">
        <f aca="false">B362-C362</f>
        <v>-2839.25464049698</v>
      </c>
      <c r="H362" s="16" t="n">
        <f aca="false">G362/B362</f>
        <v>-0.0206211500658784</v>
      </c>
      <c r="I362" s="15" t="n">
        <f aca="false">G362/D362</f>
        <v>-0.849059402062493</v>
      </c>
      <c r="J362" s="16" t="n">
        <f aca="false">I362/E362</f>
        <v>-0.0206211500658784</v>
      </c>
      <c r="K362" s="17" t="str">
        <f aca="false">TEXT(A362,"dddd")</f>
        <v>Thursday</v>
      </c>
      <c r="L362" s="17" t="str">
        <f aca="false">IF(AND(A362&gt;=DATE(2014,9,24),A362&lt;=DATE(2014,10,6)),"Promo 1",IF(AND(A362&gt;=DATE(2014,9,10),A362&lt;=DATE(2014,9,23)),"Baseline 1",IF(AND(A362&gt;=DATE(2015,9,23),A362&lt;=DATE(2015,10,6)),"Promo 2",IF(AND(A362&gt;=DATE(2015,9,9),A362&lt;=DATE(2015,9,22)),"Baseline 2",IF(AND(A362&gt;=DATE(2016,6,23),A362&lt;=DATE(2016,7,6)),"Promo 3",IF(AND(A362&gt;=DATE(2016,6,9),A362&lt;=DATE(2016,6,22)),"Baseline 3","Other"))))))</f>
        <v>Other</v>
      </c>
    </row>
    <row r="363" customFormat="false" ht="15" hidden="false" customHeight="true" outlineLevel="0" collapsed="false">
      <c r="A363" s="12" t="n">
        <v>41999</v>
      </c>
      <c r="B363" s="13" t="n">
        <v>48102.9624090303</v>
      </c>
      <c r="C363" s="13" t="n">
        <v>49028.3650721838</v>
      </c>
      <c r="D363" s="14" t="n">
        <v>1169</v>
      </c>
      <c r="E363" s="15" t="n">
        <f aca="false">B363/D363</f>
        <v>41.1488130102911</v>
      </c>
      <c r="F363" s="15" t="n">
        <f aca="false">C363/D363</f>
        <v>41.9404320549049</v>
      </c>
      <c r="G363" s="13" t="n">
        <f aca="false">B363-C363</f>
        <v>-925.402663153502</v>
      </c>
      <c r="H363" s="16" t="n">
        <f aca="false">G363/B363</f>
        <v>-0.019237955768391</v>
      </c>
      <c r="I363" s="15" t="n">
        <f aca="false">G363/D363</f>
        <v>-0.791619044613774</v>
      </c>
      <c r="J363" s="16" t="n">
        <f aca="false">I363/E363</f>
        <v>-0.019237955768391</v>
      </c>
      <c r="K363" s="17" t="str">
        <f aca="false">TEXT(A363,"dddd")</f>
        <v>Friday</v>
      </c>
      <c r="L363" s="17" t="str">
        <f aca="false">IF(AND(A363&gt;=DATE(2014,9,24),A363&lt;=DATE(2014,10,6)),"Promo 1",IF(AND(A363&gt;=DATE(2014,9,10),A363&lt;=DATE(2014,9,23)),"Baseline 1",IF(AND(A363&gt;=DATE(2015,9,23),A363&lt;=DATE(2015,10,6)),"Promo 2",IF(AND(A363&gt;=DATE(2015,9,9),A363&lt;=DATE(2015,9,22)),"Baseline 2",IF(AND(A363&gt;=DATE(2016,6,23),A363&lt;=DATE(2016,7,6)),"Promo 3",IF(AND(A363&gt;=DATE(2016,6,9),A363&lt;=DATE(2016,6,22)),"Baseline 3","Other"))))))</f>
        <v>Other</v>
      </c>
    </row>
    <row r="364" customFormat="false" ht="15" hidden="false" customHeight="true" outlineLevel="0" collapsed="false">
      <c r="A364" s="12" t="n">
        <v>42000</v>
      </c>
      <c r="B364" s="13" t="n">
        <v>110162.131982548</v>
      </c>
      <c r="C364" s="13" t="n">
        <v>112383.559247306</v>
      </c>
      <c r="D364" s="14" t="n">
        <v>2676</v>
      </c>
      <c r="E364" s="15" t="n">
        <f aca="false">B364/D364</f>
        <v>41.1667159874993</v>
      </c>
      <c r="F364" s="15" t="n">
        <f aca="false">C364/D364</f>
        <v>41.9968457575882</v>
      </c>
      <c r="G364" s="13" t="n">
        <f aca="false">B364-C364</f>
        <v>-2221.42726475799</v>
      </c>
      <c r="H364" s="16" t="n">
        <f aca="false">G364/B364</f>
        <v>-0.0201650714703843</v>
      </c>
      <c r="I364" s="15" t="n">
        <f aca="false">G364/D364</f>
        <v>-0.830129770088936</v>
      </c>
      <c r="J364" s="16" t="n">
        <f aca="false">I364/E364</f>
        <v>-0.0201650714703843</v>
      </c>
      <c r="K364" s="17" t="str">
        <f aca="false">TEXT(A364,"dddd")</f>
        <v>Saturday</v>
      </c>
      <c r="L364" s="17" t="str">
        <f aca="false">IF(AND(A364&gt;=DATE(2014,9,24),A364&lt;=DATE(2014,10,6)),"Promo 1",IF(AND(A364&gt;=DATE(2014,9,10),A364&lt;=DATE(2014,9,23)),"Baseline 1",IF(AND(A364&gt;=DATE(2015,9,23),A364&lt;=DATE(2015,10,6)),"Promo 2",IF(AND(A364&gt;=DATE(2015,9,9),A364&lt;=DATE(2015,9,22)),"Baseline 2",IF(AND(A364&gt;=DATE(2016,6,23),A364&lt;=DATE(2016,7,6)),"Promo 3",IF(AND(A364&gt;=DATE(2016,6,9),A364&lt;=DATE(2016,6,22)),"Baseline 3","Other"))))))</f>
        <v>Other</v>
      </c>
    </row>
    <row r="365" customFormat="false" ht="15" hidden="false" customHeight="true" outlineLevel="0" collapsed="false">
      <c r="A365" s="12" t="n">
        <v>42001</v>
      </c>
      <c r="B365" s="13" t="n">
        <v>69051.3370934204</v>
      </c>
      <c r="C365" s="13" t="n">
        <v>70482.7178029691</v>
      </c>
      <c r="D365" s="14" t="n">
        <v>1677</v>
      </c>
      <c r="E365" s="15" t="n">
        <f aca="false">B365/D365</f>
        <v>41.1755140688255</v>
      </c>
      <c r="F365" s="15" t="n">
        <f aca="false">C365/D365</f>
        <v>42.0290505682583</v>
      </c>
      <c r="G365" s="13" t="n">
        <f aca="false">B365-C365</f>
        <v>-1431.3807095487</v>
      </c>
      <c r="H365" s="16" t="n">
        <f aca="false">G365/B365</f>
        <v>-0.0207292250925158</v>
      </c>
      <c r="I365" s="15" t="n">
        <f aca="false">G365/D365</f>
        <v>-0.853536499432737</v>
      </c>
      <c r="J365" s="16" t="n">
        <f aca="false">I365/E365</f>
        <v>-0.0207292250925158</v>
      </c>
      <c r="K365" s="17" t="str">
        <f aca="false">TEXT(A365,"dddd")</f>
        <v>Sunday</v>
      </c>
      <c r="L365" s="17" t="str">
        <f aca="false">IF(AND(A365&gt;=DATE(2014,9,24),A365&lt;=DATE(2014,10,6)),"Promo 1",IF(AND(A365&gt;=DATE(2014,9,10),A365&lt;=DATE(2014,9,23)),"Baseline 1",IF(AND(A365&gt;=DATE(2015,9,23),A365&lt;=DATE(2015,10,6)),"Promo 2",IF(AND(A365&gt;=DATE(2015,9,9),A365&lt;=DATE(2015,9,22)),"Baseline 2",IF(AND(A365&gt;=DATE(2016,6,23),A365&lt;=DATE(2016,7,6)),"Promo 3",IF(AND(A365&gt;=DATE(2016,6,9),A365&lt;=DATE(2016,6,22)),"Baseline 3","Other"))))))</f>
        <v>Other</v>
      </c>
    </row>
    <row r="366" customFormat="false" ht="15" hidden="false" customHeight="true" outlineLevel="0" collapsed="false">
      <c r="A366" s="12" t="n">
        <v>42002</v>
      </c>
      <c r="B366" s="13" t="n">
        <v>133307.368962828</v>
      </c>
      <c r="C366" s="13" t="n">
        <v>136003.482525752</v>
      </c>
      <c r="D366" s="14" t="n">
        <v>3237</v>
      </c>
      <c r="E366" s="15" t="n">
        <f aca="false">B366/D366</f>
        <v>41.182381514621</v>
      </c>
      <c r="F366" s="15" t="n">
        <f aca="false">C366/D366</f>
        <v>42.0152865386939</v>
      </c>
      <c r="G366" s="13" t="n">
        <f aca="false">B366-C366</f>
        <v>-2696.113562924</v>
      </c>
      <c r="H366" s="16" t="n">
        <f aca="false">G366/B366</f>
        <v>-0.0202247901515167</v>
      </c>
      <c r="I366" s="15" t="n">
        <f aca="false">G366/D366</f>
        <v>-0.832905024072908</v>
      </c>
      <c r="J366" s="16" t="n">
        <f aca="false">I366/E366</f>
        <v>-0.0202247901515167</v>
      </c>
      <c r="K366" s="17" t="str">
        <f aca="false">TEXT(A366,"dddd")</f>
        <v>Monday</v>
      </c>
      <c r="L366" s="17" t="str">
        <f aca="false">IF(AND(A366&gt;=DATE(2014,9,24),A366&lt;=DATE(2014,10,6)),"Promo 1",IF(AND(A366&gt;=DATE(2014,9,10),A366&lt;=DATE(2014,9,23)),"Baseline 1",IF(AND(A366&gt;=DATE(2015,9,23),A366&lt;=DATE(2015,10,6)),"Promo 2",IF(AND(A366&gt;=DATE(2015,9,9),A366&lt;=DATE(2015,9,22)),"Baseline 2",IF(AND(A366&gt;=DATE(2016,6,23),A366&lt;=DATE(2016,7,6)),"Promo 3",IF(AND(A366&gt;=DATE(2016,6,9),A366&lt;=DATE(2016,6,22)),"Baseline 3","Other"))))))</f>
        <v>Other</v>
      </c>
    </row>
    <row r="367" customFormat="false" ht="15" hidden="false" customHeight="true" outlineLevel="0" collapsed="false">
      <c r="A367" s="12" t="n">
        <v>42003</v>
      </c>
      <c r="B367" s="13" t="n">
        <v>216389.504268855</v>
      </c>
      <c r="C367" s="13" t="n">
        <v>235723.764753908</v>
      </c>
      <c r="D367" s="14" t="n">
        <v>5607</v>
      </c>
      <c r="E367" s="15" t="n">
        <f aca="false">B367/D367</f>
        <v>38.5927419776806</v>
      </c>
      <c r="F367" s="15" t="n">
        <f aca="false">C367/D367</f>
        <v>42.0409781975937</v>
      </c>
      <c r="G367" s="13" t="n">
        <f aca="false">B367-C367</f>
        <v>-19334.260485053</v>
      </c>
      <c r="H367" s="16" t="n">
        <f aca="false">G367/B367</f>
        <v>-0.089349345063571</v>
      </c>
      <c r="I367" s="15" t="n">
        <f aca="false">G367/D367</f>
        <v>-3.44823621991315</v>
      </c>
      <c r="J367" s="16" t="n">
        <f aca="false">I367/E367</f>
        <v>-0.0893493450635711</v>
      </c>
      <c r="K367" s="17" t="str">
        <f aca="false">TEXT(A367,"dddd")</f>
        <v>Tuesday</v>
      </c>
      <c r="L367" s="17" t="str">
        <f aca="false">IF(AND(A367&gt;=DATE(2014,9,24),A367&lt;=DATE(2014,10,6)),"Promo 1",IF(AND(A367&gt;=DATE(2014,9,10),A367&lt;=DATE(2014,9,23)),"Baseline 1",IF(AND(A367&gt;=DATE(2015,9,23),A367&lt;=DATE(2015,10,6)),"Promo 2",IF(AND(A367&gt;=DATE(2015,9,9),A367&lt;=DATE(2015,9,22)),"Baseline 2",IF(AND(A367&gt;=DATE(2016,6,23),A367&lt;=DATE(2016,7,6)),"Promo 3",IF(AND(A367&gt;=DATE(2016,6,9),A367&lt;=DATE(2016,6,22)),"Baseline 3","Other"))))))</f>
        <v>Other</v>
      </c>
    </row>
    <row r="368" customFormat="false" ht="15" hidden="false" customHeight="true" outlineLevel="0" collapsed="false">
      <c r="A368" s="12" t="n">
        <v>42004</v>
      </c>
      <c r="B368" s="13" t="n">
        <v>365055.312012722</v>
      </c>
      <c r="C368" s="13" t="n">
        <v>398013.348330372</v>
      </c>
      <c r="D368" s="14" t="n">
        <v>9464</v>
      </c>
      <c r="E368" s="15" t="n">
        <f aca="false">B368/D368</f>
        <v>38.5730464933138</v>
      </c>
      <c r="F368" s="15" t="n">
        <f aca="false">C368/D368</f>
        <v>42.0555101786107</v>
      </c>
      <c r="G368" s="13" t="n">
        <f aca="false">B368-C368</f>
        <v>-32958.03631765</v>
      </c>
      <c r="H368" s="16" t="n">
        <f aca="false">G368/B368</f>
        <v>-0.09028230855192</v>
      </c>
      <c r="I368" s="15" t="n">
        <f aca="false">G368/D368</f>
        <v>-3.48246368529691</v>
      </c>
      <c r="J368" s="16" t="n">
        <f aca="false">I368/E368</f>
        <v>-0.09028230855192</v>
      </c>
      <c r="K368" s="17" t="str">
        <f aca="false">TEXT(A368,"dddd")</f>
        <v>Wednesday</v>
      </c>
      <c r="L368" s="17" t="str">
        <f aca="false">IF(AND(A368&gt;=DATE(2014,9,24),A368&lt;=DATE(2014,10,6)),"Promo 1",IF(AND(A368&gt;=DATE(2014,9,10),A368&lt;=DATE(2014,9,23)),"Baseline 1",IF(AND(A368&gt;=DATE(2015,9,23),A368&lt;=DATE(2015,10,6)),"Promo 2",IF(AND(A368&gt;=DATE(2015,9,9),A368&lt;=DATE(2015,9,22)),"Baseline 2",IF(AND(A368&gt;=DATE(2016,6,23),A368&lt;=DATE(2016,7,6)),"Promo 3",IF(AND(A368&gt;=DATE(2016,6,9),A368&lt;=DATE(2016,6,22)),"Baseline 3","Other"))))))</f>
        <v>Other</v>
      </c>
    </row>
    <row r="369" customFormat="false" ht="15" hidden="false" customHeight="true" outlineLevel="0" collapsed="false">
      <c r="A369" s="12" t="n">
        <v>42005</v>
      </c>
      <c r="B369" s="13" t="n">
        <v>112161.419616753</v>
      </c>
      <c r="C369" s="13" t="n">
        <v>122170.431684628</v>
      </c>
      <c r="D369" s="14" t="n">
        <v>2905</v>
      </c>
      <c r="E369" s="15" t="n">
        <f aca="false">B369/D369</f>
        <v>38.6097830006034</v>
      </c>
      <c r="F369" s="15" t="n">
        <f aca="false">C369/D369</f>
        <v>42.0552260532282</v>
      </c>
      <c r="G369" s="13" t="n">
        <f aca="false">B369-C369</f>
        <v>-10009.012067875</v>
      </c>
      <c r="H369" s="16" t="n">
        <f aca="false">G369/B369</f>
        <v>-0.0892375658410443</v>
      </c>
      <c r="I369" s="15" t="n">
        <f aca="false">G369/D369</f>
        <v>-3.44544305262478</v>
      </c>
      <c r="J369" s="16" t="n">
        <f aca="false">I369/E369</f>
        <v>-0.0892375658410443</v>
      </c>
      <c r="K369" s="17" t="str">
        <f aca="false">TEXT(A369,"dddd")</f>
        <v>Thursday</v>
      </c>
      <c r="L369" s="17" t="str">
        <f aca="false">IF(AND(A369&gt;=DATE(2014,9,24),A369&lt;=DATE(2014,10,6)),"Promo 1",IF(AND(A369&gt;=DATE(2014,9,10),A369&lt;=DATE(2014,9,23)),"Baseline 1",IF(AND(A369&gt;=DATE(2015,9,23),A369&lt;=DATE(2015,10,6)),"Promo 2",IF(AND(A369&gt;=DATE(2015,9,9),A369&lt;=DATE(2015,9,22)),"Baseline 2",IF(AND(A369&gt;=DATE(2016,6,23),A369&lt;=DATE(2016,7,6)),"Promo 3",IF(AND(A369&gt;=DATE(2016,6,9),A369&lt;=DATE(2016,6,22)),"Baseline 3","Other"))))))</f>
        <v>Other</v>
      </c>
    </row>
    <row r="370" customFormat="false" ht="15" hidden="false" customHeight="true" outlineLevel="0" collapsed="false">
      <c r="A370" s="12" t="n">
        <v>42006</v>
      </c>
      <c r="B370" s="13" t="n">
        <v>271101.461670313</v>
      </c>
      <c r="C370" s="13" t="n">
        <v>295019.46942959</v>
      </c>
      <c r="D370" s="14" t="n">
        <v>7023</v>
      </c>
      <c r="E370" s="15" t="n">
        <f aca="false">B370/D370</f>
        <v>38.6019452755678</v>
      </c>
      <c r="F370" s="15" t="n">
        <f aca="false">C370/D370</f>
        <v>42.0076134742404</v>
      </c>
      <c r="G370" s="13" t="n">
        <f aca="false">B370-C370</f>
        <v>-23918.007759277</v>
      </c>
      <c r="H370" s="16" t="n">
        <f aca="false">G370/B370</f>
        <v>-0.0882252999003146</v>
      </c>
      <c r="I370" s="15" t="n">
        <f aca="false">G370/D370</f>
        <v>-3.40566819867251</v>
      </c>
      <c r="J370" s="16" t="n">
        <f aca="false">I370/E370</f>
        <v>-0.0882252999003146</v>
      </c>
      <c r="K370" s="17" t="str">
        <f aca="false">TEXT(A370,"dddd")</f>
        <v>Friday</v>
      </c>
      <c r="L370" s="17" t="str">
        <f aca="false">IF(AND(A370&gt;=DATE(2014,9,24),A370&lt;=DATE(2014,10,6)),"Promo 1",IF(AND(A370&gt;=DATE(2014,9,10),A370&lt;=DATE(2014,9,23)),"Baseline 1",IF(AND(A370&gt;=DATE(2015,9,23),A370&lt;=DATE(2015,10,6)),"Promo 2",IF(AND(A370&gt;=DATE(2015,9,9),A370&lt;=DATE(2015,9,22)),"Baseline 2",IF(AND(A370&gt;=DATE(2016,6,23),A370&lt;=DATE(2016,7,6)),"Promo 3",IF(AND(A370&gt;=DATE(2016,6,9),A370&lt;=DATE(2016,6,22)),"Baseline 3","Other"))))))</f>
        <v>Other</v>
      </c>
    </row>
    <row r="371" customFormat="false" ht="15" hidden="false" customHeight="true" outlineLevel="0" collapsed="false">
      <c r="A371" s="12" t="n">
        <v>42007</v>
      </c>
      <c r="B371" s="13" t="n">
        <v>245813.288312124</v>
      </c>
      <c r="C371" s="13" t="n">
        <v>267734.725255371</v>
      </c>
      <c r="D371" s="14" t="n">
        <v>6371</v>
      </c>
      <c r="E371" s="15" t="n">
        <f aca="false">B371/D371</f>
        <v>38.5831562254158</v>
      </c>
      <c r="F371" s="15" t="n">
        <f aca="false">C371/D371</f>
        <v>42.0239719440231</v>
      </c>
      <c r="G371" s="13" t="n">
        <f aca="false">B371-C371</f>
        <v>-21921.436943247</v>
      </c>
      <c r="H371" s="16" t="n">
        <f aca="false">G371/B371</f>
        <v>-0.0891792184782624</v>
      </c>
      <c r="I371" s="15" t="n">
        <f aca="false">G371/D371</f>
        <v>-3.44081571860729</v>
      </c>
      <c r="J371" s="16" t="n">
        <f aca="false">I371/E371</f>
        <v>-0.0891792184782624</v>
      </c>
      <c r="K371" s="17" t="str">
        <f aca="false">TEXT(A371,"dddd")</f>
        <v>Saturday</v>
      </c>
      <c r="L371" s="17" t="str">
        <f aca="false">IF(AND(A371&gt;=DATE(2014,9,24),A371&lt;=DATE(2014,10,6)),"Promo 1",IF(AND(A371&gt;=DATE(2014,9,10),A371&lt;=DATE(2014,9,23)),"Baseline 1",IF(AND(A371&gt;=DATE(2015,9,23),A371&lt;=DATE(2015,10,6)),"Promo 2",IF(AND(A371&gt;=DATE(2015,9,9),A371&lt;=DATE(2015,9,22)),"Baseline 2",IF(AND(A371&gt;=DATE(2016,6,23),A371&lt;=DATE(2016,7,6)),"Promo 3",IF(AND(A371&gt;=DATE(2016,6,9),A371&lt;=DATE(2016,6,22)),"Baseline 3","Other"))))))</f>
        <v>Other</v>
      </c>
    </row>
    <row r="372" customFormat="false" ht="15" hidden="false" customHeight="true" outlineLevel="0" collapsed="false">
      <c r="A372" s="12" t="n">
        <v>42008</v>
      </c>
      <c r="B372" s="13" t="n">
        <v>178394.811997549</v>
      </c>
      <c r="C372" s="13" t="n">
        <v>194427.447973502</v>
      </c>
      <c r="D372" s="14" t="n">
        <v>4624</v>
      </c>
      <c r="E372" s="15" t="n">
        <f aca="false">B372/D372</f>
        <v>38.5801929060443</v>
      </c>
      <c r="F372" s="15" t="n">
        <f aca="false">C372/D372</f>
        <v>42.0474584717781</v>
      </c>
      <c r="G372" s="13" t="n">
        <f aca="false">B372-C372</f>
        <v>-16032.635975953</v>
      </c>
      <c r="H372" s="16" t="n">
        <f aca="false">G372/B372</f>
        <v>-0.0898716492729244</v>
      </c>
      <c r="I372" s="15" t="n">
        <f aca="false">G372/D372</f>
        <v>-3.46726556573378</v>
      </c>
      <c r="J372" s="16" t="n">
        <f aca="false">I372/E372</f>
        <v>-0.0898716492729244</v>
      </c>
      <c r="K372" s="17" t="str">
        <f aca="false">TEXT(A372,"dddd")</f>
        <v>Sunday</v>
      </c>
      <c r="L372" s="17" t="str">
        <f aca="false">IF(AND(A372&gt;=DATE(2014,9,24),A372&lt;=DATE(2014,10,6)),"Promo 1",IF(AND(A372&gt;=DATE(2014,9,10),A372&lt;=DATE(2014,9,23)),"Baseline 1",IF(AND(A372&gt;=DATE(2015,9,23),A372&lt;=DATE(2015,10,6)),"Promo 2",IF(AND(A372&gt;=DATE(2015,9,9),A372&lt;=DATE(2015,9,22)),"Baseline 2",IF(AND(A372&gt;=DATE(2016,6,23),A372&lt;=DATE(2016,7,6)),"Promo 3",IF(AND(A372&gt;=DATE(2016,6,9),A372&lt;=DATE(2016,6,22)),"Baseline 3","Other"))))))</f>
        <v>Other</v>
      </c>
    </row>
    <row r="373" customFormat="false" ht="15" hidden="false" customHeight="true" outlineLevel="0" collapsed="false">
      <c r="A373" s="12" t="n">
        <v>42009</v>
      </c>
      <c r="B373" s="13" t="n">
        <v>220443.631484265</v>
      </c>
      <c r="C373" s="13" t="n">
        <v>239988.027460387</v>
      </c>
      <c r="D373" s="14" t="n">
        <v>5717</v>
      </c>
      <c r="E373" s="15" t="n">
        <f aca="false">B373/D373</f>
        <v>38.5593198328258</v>
      </c>
      <c r="F373" s="15" t="n">
        <f aca="false">C373/D373</f>
        <v>41.9779652720635</v>
      </c>
      <c r="G373" s="13" t="n">
        <f aca="false">B373-C373</f>
        <v>-19544.395976122</v>
      </c>
      <c r="H373" s="16" t="n">
        <f aca="false">G373/B373</f>
        <v>-0.0886593812873068</v>
      </c>
      <c r="I373" s="15" t="n">
        <f aca="false">G373/D373</f>
        <v>-3.41864543923771</v>
      </c>
      <c r="J373" s="16" t="n">
        <f aca="false">I373/E373</f>
        <v>-0.0886593812873068</v>
      </c>
      <c r="K373" s="17" t="str">
        <f aca="false">TEXT(A373,"dddd")</f>
        <v>Monday</v>
      </c>
      <c r="L373" s="17" t="str">
        <f aca="false">IF(AND(A373&gt;=DATE(2014,9,24),A373&lt;=DATE(2014,10,6)),"Promo 1",IF(AND(A373&gt;=DATE(2014,9,10),A373&lt;=DATE(2014,9,23)),"Baseline 1",IF(AND(A373&gt;=DATE(2015,9,23),A373&lt;=DATE(2015,10,6)),"Promo 2",IF(AND(A373&gt;=DATE(2015,9,9),A373&lt;=DATE(2015,9,22)),"Baseline 2",IF(AND(A373&gt;=DATE(2016,6,23),A373&lt;=DATE(2016,7,6)),"Promo 3",IF(AND(A373&gt;=DATE(2016,6,9),A373&lt;=DATE(2016,6,22)),"Baseline 3","Other"))))))</f>
        <v>Other</v>
      </c>
    </row>
    <row r="374" customFormat="false" ht="15" hidden="false" customHeight="true" outlineLevel="0" collapsed="false">
      <c r="A374" s="12" t="n">
        <v>42010</v>
      </c>
      <c r="B374" s="13" t="n">
        <v>181534.188672679</v>
      </c>
      <c r="C374" s="13" t="n">
        <v>197328.943910811</v>
      </c>
      <c r="D374" s="14" t="n">
        <v>4705</v>
      </c>
      <c r="E374" s="15" t="n">
        <f aca="false">B374/D374</f>
        <v>38.5832494522166</v>
      </c>
      <c r="F374" s="15" t="n">
        <f aca="false">C374/D374</f>
        <v>41.9402643806187</v>
      </c>
      <c r="G374" s="13" t="n">
        <f aca="false">B374-C374</f>
        <v>-15794.755238132</v>
      </c>
      <c r="H374" s="16" t="n">
        <f aca="false">G374/B374</f>
        <v>-0.0870070555503528</v>
      </c>
      <c r="I374" s="15" t="n">
        <f aca="false">G374/D374</f>
        <v>-3.35701492840213</v>
      </c>
      <c r="J374" s="16" t="n">
        <f aca="false">I374/E374</f>
        <v>-0.0870070555503528</v>
      </c>
      <c r="K374" s="17" t="str">
        <f aca="false">TEXT(A374,"dddd")</f>
        <v>Tuesday</v>
      </c>
      <c r="L374" s="17" t="str">
        <f aca="false">IF(AND(A374&gt;=DATE(2014,9,24),A374&lt;=DATE(2014,10,6)),"Promo 1",IF(AND(A374&gt;=DATE(2014,9,10),A374&lt;=DATE(2014,9,23)),"Baseline 1",IF(AND(A374&gt;=DATE(2015,9,23),A374&lt;=DATE(2015,10,6)),"Promo 2",IF(AND(A374&gt;=DATE(2015,9,9),A374&lt;=DATE(2015,9,22)),"Baseline 2",IF(AND(A374&gt;=DATE(2016,6,23),A374&lt;=DATE(2016,7,6)),"Promo 3",IF(AND(A374&gt;=DATE(2016,6,9),A374&lt;=DATE(2016,6,22)),"Baseline 3","Other"))))))</f>
        <v>Other</v>
      </c>
    </row>
    <row r="375" customFormat="false" ht="15" hidden="false" customHeight="true" outlineLevel="0" collapsed="false">
      <c r="A375" s="12" t="n">
        <v>42011</v>
      </c>
      <c r="B375" s="13" t="n">
        <v>83176.4813934002</v>
      </c>
      <c r="C375" s="13" t="n">
        <v>84728.8311966311</v>
      </c>
      <c r="D375" s="14" t="n">
        <v>2020</v>
      </c>
      <c r="E375" s="15" t="n">
        <f aca="false">B375/D375</f>
        <v>41.1764759373268</v>
      </c>
      <c r="F375" s="15" t="n">
        <f aca="false">C375/D375</f>
        <v>41.9449659389263</v>
      </c>
      <c r="G375" s="13" t="n">
        <f aca="false">B375-C375</f>
        <v>-1552.3498032309</v>
      </c>
      <c r="H375" s="16" t="n">
        <f aca="false">G375/B375</f>
        <v>-0.0186633261857849</v>
      </c>
      <c r="I375" s="15" t="n">
        <f aca="false">G375/D375</f>
        <v>-0.768490001599455</v>
      </c>
      <c r="J375" s="16" t="n">
        <f aca="false">I375/E375</f>
        <v>-0.0186633261857849</v>
      </c>
      <c r="K375" s="17" t="str">
        <f aca="false">TEXT(A375,"dddd")</f>
        <v>Wednesday</v>
      </c>
      <c r="L375" s="17" t="str">
        <f aca="false">IF(AND(A375&gt;=DATE(2014,9,24),A375&lt;=DATE(2014,10,6)),"Promo 1",IF(AND(A375&gt;=DATE(2014,9,10),A375&lt;=DATE(2014,9,23)),"Baseline 1",IF(AND(A375&gt;=DATE(2015,9,23),A375&lt;=DATE(2015,10,6)),"Promo 2",IF(AND(A375&gt;=DATE(2015,9,9),A375&lt;=DATE(2015,9,22)),"Baseline 2",IF(AND(A375&gt;=DATE(2016,6,23),A375&lt;=DATE(2016,7,6)),"Promo 3",IF(AND(A375&gt;=DATE(2016,6,9),A375&lt;=DATE(2016,6,22)),"Baseline 3","Other"))))))</f>
        <v>Other</v>
      </c>
    </row>
    <row r="376" customFormat="false" ht="15" hidden="false" customHeight="true" outlineLevel="0" collapsed="false">
      <c r="A376" s="12" t="n">
        <v>42012</v>
      </c>
      <c r="B376" s="13" t="n">
        <v>76894.7793487054</v>
      </c>
      <c r="C376" s="13" t="n">
        <v>78468.0954996875</v>
      </c>
      <c r="D376" s="14" t="n">
        <v>1868</v>
      </c>
      <c r="E376" s="15" t="n">
        <f aca="false">B376/D376</f>
        <v>41.1642287733969</v>
      </c>
      <c r="F376" s="15" t="n">
        <f aca="false">C376/D376</f>
        <v>42.0064751068991</v>
      </c>
      <c r="G376" s="13" t="n">
        <f aca="false">B376-C376</f>
        <v>-1573.31615098209</v>
      </c>
      <c r="H376" s="16" t="n">
        <f aca="false">G376/B376</f>
        <v>-0.020460636785852</v>
      </c>
      <c r="I376" s="15" t="n">
        <f aca="false">G376/D376</f>
        <v>-0.842246333502191</v>
      </c>
      <c r="J376" s="16" t="n">
        <f aca="false">I376/E376</f>
        <v>-0.020460636785852</v>
      </c>
      <c r="K376" s="17" t="str">
        <f aca="false">TEXT(A376,"dddd")</f>
        <v>Thursday</v>
      </c>
      <c r="L376" s="17" t="str">
        <f aca="false">IF(AND(A376&gt;=DATE(2014,9,24),A376&lt;=DATE(2014,10,6)),"Promo 1",IF(AND(A376&gt;=DATE(2014,9,10),A376&lt;=DATE(2014,9,23)),"Baseline 1",IF(AND(A376&gt;=DATE(2015,9,23),A376&lt;=DATE(2015,10,6)),"Promo 2",IF(AND(A376&gt;=DATE(2015,9,9),A376&lt;=DATE(2015,9,22)),"Baseline 2",IF(AND(A376&gt;=DATE(2016,6,23),A376&lt;=DATE(2016,7,6)),"Promo 3",IF(AND(A376&gt;=DATE(2016,6,9),A376&lt;=DATE(2016,6,22)),"Baseline 3","Other"))))))</f>
        <v>Other</v>
      </c>
    </row>
    <row r="377" customFormat="false" ht="15" hidden="false" customHeight="true" outlineLevel="0" collapsed="false">
      <c r="A377" s="12" t="n">
        <v>42013</v>
      </c>
      <c r="B377" s="13" t="n">
        <v>123859.387956738</v>
      </c>
      <c r="C377" s="13" t="n">
        <v>126444.142518281</v>
      </c>
      <c r="D377" s="14" t="n">
        <v>3008</v>
      </c>
      <c r="E377" s="15" t="n">
        <f aca="false">B377/D377</f>
        <v>41.1766582302985</v>
      </c>
      <c r="F377" s="15" t="n">
        <f aca="false">C377/D377</f>
        <v>42.0359516350668</v>
      </c>
      <c r="G377" s="13" t="n">
        <f aca="false">B377-C377</f>
        <v>-2584.754561543</v>
      </c>
      <c r="H377" s="16" t="n">
        <f aca="false">G377/B377</f>
        <v>-0.020868459017784</v>
      </c>
      <c r="I377" s="15" t="n">
        <f aca="false">G377/D377</f>
        <v>-0.859293404768284</v>
      </c>
      <c r="J377" s="16" t="n">
        <f aca="false">I377/E377</f>
        <v>-0.020868459017784</v>
      </c>
      <c r="K377" s="17" t="str">
        <f aca="false">TEXT(A377,"dddd")</f>
        <v>Friday</v>
      </c>
      <c r="L377" s="17" t="str">
        <f aca="false">IF(AND(A377&gt;=DATE(2014,9,24),A377&lt;=DATE(2014,10,6)),"Promo 1",IF(AND(A377&gt;=DATE(2014,9,10),A377&lt;=DATE(2014,9,23)),"Baseline 1",IF(AND(A377&gt;=DATE(2015,9,23),A377&lt;=DATE(2015,10,6)),"Promo 2",IF(AND(A377&gt;=DATE(2015,9,9),A377&lt;=DATE(2015,9,22)),"Baseline 2",IF(AND(A377&gt;=DATE(2016,6,23),A377&lt;=DATE(2016,7,6)),"Promo 3",IF(AND(A377&gt;=DATE(2016,6,9),A377&lt;=DATE(2016,6,22)),"Baseline 3","Other"))))))</f>
        <v>Other</v>
      </c>
    </row>
    <row r="378" customFormat="false" ht="15" hidden="false" customHeight="true" outlineLevel="0" collapsed="false">
      <c r="A378" s="12" t="n">
        <v>42014</v>
      </c>
      <c r="B378" s="13" t="n">
        <v>120807.574158327</v>
      </c>
      <c r="C378" s="13" t="n">
        <v>123392.804067781</v>
      </c>
      <c r="D378" s="14" t="n">
        <v>2934</v>
      </c>
      <c r="E378" s="15" t="n">
        <f aca="false">B378/D378</f>
        <v>41.1750423170849</v>
      </c>
      <c r="F378" s="15" t="n">
        <f aca="false">C378/D378</f>
        <v>42.0561704389165</v>
      </c>
      <c r="G378" s="13" t="n">
        <f aca="false">B378-C378</f>
        <v>-2585.22990945401</v>
      </c>
      <c r="H378" s="16" t="n">
        <f aca="false">G378/B378</f>
        <v>-0.0213995680938505</v>
      </c>
      <c r="I378" s="15" t="n">
        <f aca="false">G378/D378</f>
        <v>-0.881128121831632</v>
      </c>
      <c r="J378" s="16" t="n">
        <f aca="false">I378/E378</f>
        <v>-0.0213995680938505</v>
      </c>
      <c r="K378" s="17" t="str">
        <f aca="false">TEXT(A378,"dddd")</f>
        <v>Saturday</v>
      </c>
      <c r="L378" s="17" t="str">
        <f aca="false">IF(AND(A378&gt;=DATE(2014,9,24),A378&lt;=DATE(2014,10,6)),"Promo 1",IF(AND(A378&gt;=DATE(2014,9,10),A378&lt;=DATE(2014,9,23)),"Baseline 1",IF(AND(A378&gt;=DATE(2015,9,23),A378&lt;=DATE(2015,10,6)),"Promo 2",IF(AND(A378&gt;=DATE(2015,9,9),A378&lt;=DATE(2015,9,22)),"Baseline 2",IF(AND(A378&gt;=DATE(2016,6,23),A378&lt;=DATE(2016,7,6)),"Promo 3",IF(AND(A378&gt;=DATE(2016,6,9),A378&lt;=DATE(2016,6,22)),"Baseline 3","Other"))))))</f>
        <v>Other</v>
      </c>
    </row>
    <row r="379" customFormat="false" ht="15" hidden="false" customHeight="true" outlineLevel="0" collapsed="false">
      <c r="A379" s="12" t="n">
        <v>42015</v>
      </c>
      <c r="B379" s="13" t="n">
        <v>69597.3673493304</v>
      </c>
      <c r="C379" s="13" t="n">
        <v>71051.3635029328</v>
      </c>
      <c r="D379" s="14" t="n">
        <v>1690</v>
      </c>
      <c r="E379" s="15" t="n">
        <f aca="false">B379/D379</f>
        <v>41.1818741712014</v>
      </c>
      <c r="F379" s="15" t="n">
        <f aca="false">C379/D379</f>
        <v>42.0422269248123</v>
      </c>
      <c r="G379" s="13" t="n">
        <f aca="false">B379-C379</f>
        <v>-1453.99615360241</v>
      </c>
      <c r="H379" s="16" t="n">
        <f aca="false">G379/B379</f>
        <v>-0.0208915395650579</v>
      </c>
      <c r="I379" s="15" t="n">
        <f aca="false">G379/D379</f>
        <v>-0.860352753610891</v>
      </c>
      <c r="J379" s="16" t="n">
        <f aca="false">I379/E379</f>
        <v>-0.0208915395650579</v>
      </c>
      <c r="K379" s="17" t="str">
        <f aca="false">TEXT(A379,"dddd")</f>
        <v>Sunday</v>
      </c>
      <c r="L379" s="17" t="str">
        <f aca="false">IF(AND(A379&gt;=DATE(2014,9,24),A379&lt;=DATE(2014,10,6)),"Promo 1",IF(AND(A379&gt;=DATE(2014,9,10),A379&lt;=DATE(2014,9,23)),"Baseline 1",IF(AND(A379&gt;=DATE(2015,9,23),A379&lt;=DATE(2015,10,6)),"Promo 2",IF(AND(A379&gt;=DATE(2015,9,9),A379&lt;=DATE(2015,9,22)),"Baseline 2",IF(AND(A379&gt;=DATE(2016,6,23),A379&lt;=DATE(2016,7,6)),"Promo 3",IF(AND(A379&gt;=DATE(2016,6,9),A379&lt;=DATE(2016,6,22)),"Baseline 3","Other"))))))</f>
        <v>Other</v>
      </c>
    </row>
    <row r="380" customFormat="false" ht="15" hidden="false" customHeight="true" outlineLevel="0" collapsed="false">
      <c r="A380" s="12" t="n">
        <v>42016</v>
      </c>
      <c r="B380" s="13" t="n">
        <v>84738.2944112601</v>
      </c>
      <c r="C380" s="13" t="n">
        <v>86467.5377502817</v>
      </c>
      <c r="D380" s="14" t="n">
        <v>2058</v>
      </c>
      <c r="E380" s="15" t="n">
        <f aca="false">B380/D380</f>
        <v>41.1750701706803</v>
      </c>
      <c r="F380" s="15" t="n">
        <f aca="false">C380/D380</f>
        <v>42.0153244656374</v>
      </c>
      <c r="G380" s="13" t="n">
        <f aca="false">B380-C380</f>
        <v>-1729.2433390216</v>
      </c>
      <c r="H380" s="16" t="n">
        <f aca="false">G380/B380</f>
        <v>-0.0204068697751818</v>
      </c>
      <c r="I380" s="15" t="n">
        <f aca="false">G380/D380</f>
        <v>-0.840254294957047</v>
      </c>
      <c r="J380" s="16" t="n">
        <f aca="false">I380/E380</f>
        <v>-0.0204068697751818</v>
      </c>
      <c r="K380" s="17" t="str">
        <f aca="false">TEXT(A380,"dddd")</f>
        <v>Monday</v>
      </c>
      <c r="L380" s="17" t="str">
        <f aca="false">IF(AND(A380&gt;=DATE(2014,9,24),A380&lt;=DATE(2014,10,6)),"Promo 1",IF(AND(A380&gt;=DATE(2014,9,10),A380&lt;=DATE(2014,9,23)),"Baseline 1",IF(AND(A380&gt;=DATE(2015,9,23),A380&lt;=DATE(2015,10,6)),"Promo 2",IF(AND(A380&gt;=DATE(2015,9,9),A380&lt;=DATE(2015,9,22)),"Baseline 2",IF(AND(A380&gt;=DATE(2016,6,23),A380&lt;=DATE(2016,7,6)),"Promo 3",IF(AND(A380&gt;=DATE(2016,6,9),A380&lt;=DATE(2016,6,22)),"Baseline 3","Other"))))))</f>
        <v>Other</v>
      </c>
    </row>
    <row r="381" customFormat="false" ht="15" hidden="false" customHeight="true" outlineLevel="0" collapsed="false">
      <c r="A381" s="12" t="n">
        <v>42017</v>
      </c>
      <c r="B381" s="13" t="n">
        <v>64653.9721381404</v>
      </c>
      <c r="C381" s="13" t="n">
        <v>65980.4220898598</v>
      </c>
      <c r="D381" s="14" t="n">
        <v>1570</v>
      </c>
      <c r="E381" s="15" t="n">
        <f aca="false">B381/D381</f>
        <v>41.1808739733378</v>
      </c>
      <c r="F381" s="15" t="n">
        <f aca="false">C381/D381</f>
        <v>42.0257465540508</v>
      </c>
      <c r="G381" s="13" t="n">
        <f aca="false">B381-C381</f>
        <v>-1326.4499517194</v>
      </c>
      <c r="H381" s="16" t="n">
        <f aca="false">G381/B381</f>
        <v>-0.0205161401202898</v>
      </c>
      <c r="I381" s="15" t="n">
        <f aca="false">G381/D381</f>
        <v>-0.844872580712992</v>
      </c>
      <c r="J381" s="16" t="n">
        <f aca="false">I381/E381</f>
        <v>-0.0205161401202898</v>
      </c>
      <c r="K381" s="17" t="str">
        <f aca="false">TEXT(A381,"dddd")</f>
        <v>Tuesday</v>
      </c>
      <c r="L381" s="17" t="str">
        <f aca="false">IF(AND(A381&gt;=DATE(2014,9,24),A381&lt;=DATE(2014,10,6)),"Promo 1",IF(AND(A381&gt;=DATE(2014,9,10),A381&lt;=DATE(2014,9,23)),"Baseline 1",IF(AND(A381&gt;=DATE(2015,9,23),A381&lt;=DATE(2015,10,6)),"Promo 2",IF(AND(A381&gt;=DATE(2015,9,9),A381&lt;=DATE(2015,9,22)),"Baseline 2",IF(AND(A381&gt;=DATE(2016,6,23),A381&lt;=DATE(2016,7,6)),"Promo 3",IF(AND(A381&gt;=DATE(2016,6,9),A381&lt;=DATE(2016,6,22)),"Baseline 3","Other"))))))</f>
        <v>Other</v>
      </c>
    </row>
    <row r="382" customFormat="false" ht="15" hidden="false" customHeight="true" outlineLevel="0" collapsed="false">
      <c r="A382" s="12" t="n">
        <v>42018</v>
      </c>
      <c r="B382" s="13" t="n">
        <v>59553.3860310203</v>
      </c>
      <c r="C382" s="13" t="n">
        <v>60703.3560287776</v>
      </c>
      <c r="D382" s="14" t="n">
        <v>1446</v>
      </c>
      <c r="E382" s="15" t="n">
        <f aca="false">B382/D382</f>
        <v>41.1849142676489</v>
      </c>
      <c r="F382" s="15" t="n">
        <f aca="false">C382/D382</f>
        <v>41.9801908912708</v>
      </c>
      <c r="G382" s="13" t="n">
        <f aca="false">B382-C382</f>
        <v>-1149.9699977573</v>
      </c>
      <c r="H382" s="16" t="n">
        <f aca="false">G382/B382</f>
        <v>-0.0193099011558855</v>
      </c>
      <c r="I382" s="15" t="n">
        <f aca="false">G382/D382</f>
        <v>-0.79527662362192</v>
      </c>
      <c r="J382" s="16" t="n">
        <f aca="false">I382/E382</f>
        <v>-0.0193099011558855</v>
      </c>
      <c r="K382" s="17" t="str">
        <f aca="false">TEXT(A382,"dddd")</f>
        <v>Wednesday</v>
      </c>
      <c r="L382" s="17" t="str">
        <f aca="false">IF(AND(A382&gt;=DATE(2014,9,24),A382&lt;=DATE(2014,10,6)),"Promo 1",IF(AND(A382&gt;=DATE(2014,9,10),A382&lt;=DATE(2014,9,23)),"Baseline 1",IF(AND(A382&gt;=DATE(2015,9,23),A382&lt;=DATE(2015,10,6)),"Promo 2",IF(AND(A382&gt;=DATE(2015,9,9),A382&lt;=DATE(2015,9,22)),"Baseline 2",IF(AND(A382&gt;=DATE(2016,6,23),A382&lt;=DATE(2016,7,6)),"Promo 3",IF(AND(A382&gt;=DATE(2016,6,9),A382&lt;=DATE(2016,6,22)),"Baseline 3","Other"))))))</f>
        <v>Other</v>
      </c>
    </row>
    <row r="383" customFormat="false" ht="15" hidden="false" customHeight="true" outlineLevel="0" collapsed="false">
      <c r="A383" s="12" t="n">
        <v>42019</v>
      </c>
      <c r="B383" s="13" t="n">
        <v>79080.7569577304</v>
      </c>
      <c r="C383" s="13" t="n">
        <v>80337.7483121746</v>
      </c>
      <c r="D383" s="14" t="n">
        <v>1921</v>
      </c>
      <c r="E383" s="15" t="n">
        <f aca="false">B383/D383</f>
        <v>41.1664533876785</v>
      </c>
      <c r="F383" s="15" t="n">
        <f aca="false">C383/D383</f>
        <v>41.8207955815589</v>
      </c>
      <c r="G383" s="13" t="n">
        <f aca="false">B383-C383</f>
        <v>-1256.99135444421</v>
      </c>
      <c r="H383" s="16" t="n">
        <f aca="false">G383/B383</f>
        <v>-0.0158950344281111</v>
      </c>
      <c r="I383" s="15" t="n">
        <f aca="false">G383/D383</f>
        <v>-0.65434219388038</v>
      </c>
      <c r="J383" s="16" t="n">
        <f aca="false">I383/E383</f>
        <v>-0.0158950344281111</v>
      </c>
      <c r="K383" s="17" t="str">
        <f aca="false">TEXT(A383,"dddd")</f>
        <v>Thursday</v>
      </c>
      <c r="L383" s="17" t="str">
        <f aca="false">IF(AND(A383&gt;=DATE(2014,9,24),A383&lt;=DATE(2014,10,6)),"Promo 1",IF(AND(A383&gt;=DATE(2014,9,10),A383&lt;=DATE(2014,9,23)),"Baseline 1",IF(AND(A383&gt;=DATE(2015,9,23),A383&lt;=DATE(2015,10,6)),"Promo 2",IF(AND(A383&gt;=DATE(2015,9,9),A383&lt;=DATE(2015,9,22)),"Baseline 2",IF(AND(A383&gt;=DATE(2016,6,23),A383&lt;=DATE(2016,7,6)),"Promo 3",IF(AND(A383&gt;=DATE(2016,6,9),A383&lt;=DATE(2016,6,22)),"Baseline 3","Other"))))))</f>
        <v>Other</v>
      </c>
    </row>
    <row r="384" customFormat="false" ht="15" hidden="false" customHeight="true" outlineLevel="0" collapsed="false">
      <c r="A384" s="12" t="n">
        <v>42020</v>
      </c>
      <c r="B384" s="13" t="n">
        <v>149444.056787454</v>
      </c>
      <c r="C384" s="13" t="n">
        <v>152030.986480535</v>
      </c>
      <c r="D384" s="14" t="n">
        <v>3629</v>
      </c>
      <c r="E384" s="15" t="n">
        <f aca="false">B384/D384</f>
        <v>41.1805061414864</v>
      </c>
      <c r="F384" s="15" t="n">
        <f aca="false">C384/D384</f>
        <v>41.8933553266837</v>
      </c>
      <c r="G384" s="13" t="n">
        <f aca="false">B384-C384</f>
        <v>-2586.92969308101</v>
      </c>
      <c r="H384" s="16" t="n">
        <f aca="false">G384/B384</f>
        <v>-0.0173103551167662</v>
      </c>
      <c r="I384" s="15" t="n">
        <f aca="false">G384/D384</f>
        <v>-0.712849185197302</v>
      </c>
      <c r="J384" s="16" t="n">
        <f aca="false">I384/E384</f>
        <v>-0.0173103551167662</v>
      </c>
      <c r="K384" s="17" t="str">
        <f aca="false">TEXT(A384,"dddd")</f>
        <v>Friday</v>
      </c>
      <c r="L384" s="17" t="str">
        <f aca="false">IF(AND(A384&gt;=DATE(2014,9,24),A384&lt;=DATE(2014,10,6)),"Promo 1",IF(AND(A384&gt;=DATE(2014,9,10),A384&lt;=DATE(2014,9,23)),"Baseline 1",IF(AND(A384&gt;=DATE(2015,9,23),A384&lt;=DATE(2015,10,6)),"Promo 2",IF(AND(A384&gt;=DATE(2015,9,9),A384&lt;=DATE(2015,9,22)),"Baseline 2",IF(AND(A384&gt;=DATE(2016,6,23),A384&lt;=DATE(2016,7,6)),"Promo 3",IF(AND(A384&gt;=DATE(2016,6,9),A384&lt;=DATE(2016,6,22)),"Baseline 3","Other"))))))</f>
        <v>Other</v>
      </c>
    </row>
    <row r="385" customFormat="false" ht="15" hidden="false" customHeight="true" outlineLevel="0" collapsed="false">
      <c r="A385" s="12" t="n">
        <v>42021</v>
      </c>
      <c r="B385" s="13" t="n">
        <v>170624.079935892</v>
      </c>
      <c r="C385" s="13" t="n">
        <v>173547.027110042</v>
      </c>
      <c r="D385" s="14" t="n">
        <v>4144</v>
      </c>
      <c r="E385" s="15" t="n">
        <f aca="false">B385/D385</f>
        <v>41.1737644632944</v>
      </c>
      <c r="F385" s="15" t="n">
        <f aca="false">C385/D385</f>
        <v>41.8791088586009</v>
      </c>
      <c r="G385" s="13" t="n">
        <f aca="false">B385-C385</f>
        <v>-2922.94717415</v>
      </c>
      <c r="H385" s="16" t="n">
        <f aca="false">G385/B385</f>
        <v>-0.0171309183044283</v>
      </c>
      <c r="I385" s="15" t="n">
        <f aca="false">G385/D385</f>
        <v>-0.705344395306468</v>
      </c>
      <c r="J385" s="16" t="n">
        <f aca="false">I385/E385</f>
        <v>-0.0171309183044283</v>
      </c>
      <c r="K385" s="17" t="str">
        <f aca="false">TEXT(A385,"dddd")</f>
        <v>Saturday</v>
      </c>
      <c r="L385" s="17" t="str">
        <f aca="false">IF(AND(A385&gt;=DATE(2014,9,24),A385&lt;=DATE(2014,10,6)),"Promo 1",IF(AND(A385&gt;=DATE(2014,9,10),A385&lt;=DATE(2014,9,23)),"Baseline 1",IF(AND(A385&gt;=DATE(2015,9,23),A385&lt;=DATE(2015,10,6)),"Promo 2",IF(AND(A385&gt;=DATE(2015,9,9),A385&lt;=DATE(2015,9,22)),"Baseline 2",IF(AND(A385&gt;=DATE(2016,6,23),A385&lt;=DATE(2016,7,6)),"Promo 3",IF(AND(A385&gt;=DATE(2016,6,9),A385&lt;=DATE(2016,6,22)),"Baseline 3","Other"))))))</f>
        <v>Other</v>
      </c>
    </row>
    <row r="386" customFormat="false" ht="15" hidden="false" customHeight="true" outlineLevel="0" collapsed="false">
      <c r="A386" s="12" t="n">
        <v>42022</v>
      </c>
      <c r="B386" s="13" t="n">
        <v>74744.2831492605</v>
      </c>
      <c r="C386" s="13" t="n">
        <v>76003.9282542138</v>
      </c>
      <c r="D386" s="14" t="n">
        <v>1815</v>
      </c>
      <c r="E386" s="15" t="n">
        <f aca="false">B386/D386</f>
        <v>41.1814232227331</v>
      </c>
      <c r="F386" s="15" t="n">
        <f aca="false">C386/D386</f>
        <v>41.8754425643051</v>
      </c>
      <c r="G386" s="13" t="n">
        <f aca="false">B386-C386</f>
        <v>-1259.64510495329</v>
      </c>
      <c r="H386" s="16" t="n">
        <f aca="false">G386/B386</f>
        <v>-0.0168527284212205</v>
      </c>
      <c r="I386" s="15" t="n">
        <f aca="false">G386/D386</f>
        <v>-0.694019341572062</v>
      </c>
      <c r="J386" s="16" t="n">
        <f aca="false">I386/E386</f>
        <v>-0.0168527284212205</v>
      </c>
      <c r="K386" s="17" t="str">
        <f aca="false">TEXT(A386,"dddd")</f>
        <v>Sunday</v>
      </c>
      <c r="L386" s="17" t="str">
        <f aca="false">IF(AND(A386&gt;=DATE(2014,9,24),A386&lt;=DATE(2014,10,6)),"Promo 1",IF(AND(A386&gt;=DATE(2014,9,10),A386&lt;=DATE(2014,9,23)),"Baseline 1",IF(AND(A386&gt;=DATE(2015,9,23),A386&lt;=DATE(2015,10,6)),"Promo 2",IF(AND(A386&gt;=DATE(2015,9,9),A386&lt;=DATE(2015,9,22)),"Baseline 2",IF(AND(A386&gt;=DATE(2016,6,23),A386&lt;=DATE(2016,7,6)),"Promo 3",IF(AND(A386&gt;=DATE(2016,6,9),A386&lt;=DATE(2016,6,22)),"Baseline 3","Other"))))))</f>
        <v>Other</v>
      </c>
    </row>
    <row r="387" customFormat="false" ht="15" hidden="false" customHeight="true" outlineLevel="0" collapsed="false">
      <c r="A387" s="12" t="n">
        <v>42023</v>
      </c>
      <c r="B387" s="13" t="n">
        <v>90144.1614014898</v>
      </c>
      <c r="C387" s="13" t="n">
        <v>91110.9693479948</v>
      </c>
      <c r="D387" s="14" t="n">
        <v>2189</v>
      </c>
      <c r="E387" s="15" t="n">
        <f aca="false">B387/D387</f>
        <v>41.1805214259889</v>
      </c>
      <c r="F387" s="15" t="n">
        <f aca="false">C387/D387</f>
        <v>41.622187915941</v>
      </c>
      <c r="G387" s="13" t="n">
        <f aca="false">B387-C387</f>
        <v>-966.807946505011</v>
      </c>
      <c r="H387" s="16" t="n">
        <f aca="false">G387/B387</f>
        <v>-0.0107251310730928</v>
      </c>
      <c r="I387" s="15" t="n">
        <f aca="false">G387/D387</f>
        <v>-0.441666489952038</v>
      </c>
      <c r="J387" s="16" t="n">
        <f aca="false">I387/E387</f>
        <v>-0.0107251310730928</v>
      </c>
      <c r="K387" s="17" t="str">
        <f aca="false">TEXT(A387,"dddd")</f>
        <v>Monday</v>
      </c>
      <c r="L387" s="17" t="str">
        <f aca="false">IF(AND(A387&gt;=DATE(2014,9,24),A387&lt;=DATE(2014,10,6)),"Promo 1",IF(AND(A387&gt;=DATE(2014,9,10),A387&lt;=DATE(2014,9,23)),"Baseline 1",IF(AND(A387&gt;=DATE(2015,9,23),A387&lt;=DATE(2015,10,6)),"Promo 2",IF(AND(A387&gt;=DATE(2015,9,9),A387&lt;=DATE(2015,9,22)),"Baseline 2",IF(AND(A387&gt;=DATE(2016,6,23),A387&lt;=DATE(2016,7,6)),"Promo 3",IF(AND(A387&gt;=DATE(2016,6,9),A387&lt;=DATE(2016,6,22)),"Baseline 3","Other"))))))</f>
        <v>Other</v>
      </c>
    </row>
    <row r="388" customFormat="false" ht="15" hidden="false" customHeight="true" outlineLevel="0" collapsed="false">
      <c r="A388" s="12" t="n">
        <v>42024</v>
      </c>
      <c r="B388" s="13" t="n">
        <v>97826.808800979</v>
      </c>
      <c r="C388" s="13" t="n">
        <v>99134.3069885935</v>
      </c>
      <c r="D388" s="14" t="n">
        <v>2376</v>
      </c>
      <c r="E388" s="15" t="n">
        <f aca="false">B388/D388</f>
        <v>41.1728993270114</v>
      </c>
      <c r="F388" s="15" t="n">
        <f aca="false">C388/D388</f>
        <v>41.7231931770175</v>
      </c>
      <c r="G388" s="13" t="n">
        <f aca="false">B388-C388</f>
        <v>-1307.4981876145</v>
      </c>
      <c r="H388" s="16" t="n">
        <f aca="false">G388/B388</f>
        <v>-0.0133654384073236</v>
      </c>
      <c r="I388" s="15" t="n">
        <f aca="false">G388/D388</f>
        <v>-0.550293850006104</v>
      </c>
      <c r="J388" s="16" t="n">
        <f aca="false">I388/E388</f>
        <v>-0.0133654384073236</v>
      </c>
      <c r="K388" s="17" t="str">
        <f aca="false">TEXT(A388,"dddd")</f>
        <v>Tuesday</v>
      </c>
      <c r="L388" s="17" t="str">
        <f aca="false">IF(AND(A388&gt;=DATE(2014,9,24),A388&lt;=DATE(2014,10,6)),"Promo 1",IF(AND(A388&gt;=DATE(2014,9,10),A388&lt;=DATE(2014,9,23)),"Baseline 1",IF(AND(A388&gt;=DATE(2015,9,23),A388&lt;=DATE(2015,10,6)),"Promo 2",IF(AND(A388&gt;=DATE(2015,9,9),A388&lt;=DATE(2015,9,22)),"Baseline 2",IF(AND(A388&gt;=DATE(2016,6,23),A388&lt;=DATE(2016,7,6)),"Promo 3",IF(AND(A388&gt;=DATE(2016,6,9),A388&lt;=DATE(2016,6,22)),"Baseline 3","Other"))))))</f>
        <v>Other</v>
      </c>
    </row>
    <row r="389" customFormat="false" ht="15" hidden="false" customHeight="true" outlineLevel="0" collapsed="false">
      <c r="A389" s="12" t="n">
        <v>42025</v>
      </c>
      <c r="B389" s="13" t="n">
        <v>62795.9791459204</v>
      </c>
      <c r="C389" s="13" t="n">
        <v>64144.0888752459</v>
      </c>
      <c r="D389" s="14" t="n">
        <v>1525</v>
      </c>
      <c r="E389" s="15" t="n">
        <f aca="false">B389/D389</f>
        <v>41.1776912432265</v>
      </c>
      <c r="F389" s="15" t="n">
        <f aca="false">C389/D389</f>
        <v>42.0616976231121</v>
      </c>
      <c r="G389" s="13" t="n">
        <f aca="false">B389-C389</f>
        <v>-1348.1097293255</v>
      </c>
      <c r="H389" s="16" t="n">
        <f aca="false">G389/B389</f>
        <v>-0.0214680899583215</v>
      </c>
      <c r="I389" s="15" t="n">
        <f aca="false">G389/D389</f>
        <v>-0.884006379885574</v>
      </c>
      <c r="J389" s="16" t="n">
        <f aca="false">I389/E389</f>
        <v>-0.0214680899583215</v>
      </c>
      <c r="K389" s="17" t="str">
        <f aca="false">TEXT(A389,"dddd")</f>
        <v>Wednesday</v>
      </c>
      <c r="L389" s="17" t="str">
        <f aca="false">IF(AND(A389&gt;=DATE(2014,9,24),A389&lt;=DATE(2014,10,6)),"Promo 1",IF(AND(A389&gt;=DATE(2014,9,10),A389&lt;=DATE(2014,9,23)),"Baseline 1",IF(AND(A389&gt;=DATE(2015,9,23),A389&lt;=DATE(2015,10,6)),"Promo 2",IF(AND(A389&gt;=DATE(2015,9,9),A389&lt;=DATE(2015,9,22)),"Baseline 2",IF(AND(A389&gt;=DATE(2016,6,23),A389&lt;=DATE(2016,7,6)),"Promo 3",IF(AND(A389&gt;=DATE(2016,6,9),A389&lt;=DATE(2016,6,22)),"Baseline 3","Other"))))))</f>
        <v>Other</v>
      </c>
    </row>
    <row r="390" customFormat="false" ht="15" hidden="false" customHeight="true" outlineLevel="0" collapsed="false">
      <c r="A390" s="12" t="n">
        <v>42026</v>
      </c>
      <c r="B390" s="13" t="n">
        <v>66550.9898270804</v>
      </c>
      <c r="C390" s="13" t="n">
        <v>67952.1505548415</v>
      </c>
      <c r="D390" s="14" t="n">
        <v>1616</v>
      </c>
      <c r="E390" s="15" t="n">
        <f aca="false">B390/D390</f>
        <v>41.182543209827</v>
      </c>
      <c r="F390" s="15" t="n">
        <f aca="false">C390/D390</f>
        <v>42.0495981156197</v>
      </c>
      <c r="G390" s="13" t="n">
        <f aca="false">B390-C390</f>
        <v>-1401.1607277611</v>
      </c>
      <c r="H390" s="16" t="n">
        <f aca="false">G390/B390</f>
        <v>-0.0210539427197363</v>
      </c>
      <c r="I390" s="15" t="n">
        <f aca="false">G390/D390</f>
        <v>-0.867054905792762</v>
      </c>
      <c r="J390" s="16" t="n">
        <f aca="false">I390/E390</f>
        <v>-0.0210539427197363</v>
      </c>
      <c r="K390" s="17" t="str">
        <f aca="false">TEXT(A390,"dddd")</f>
        <v>Thursday</v>
      </c>
      <c r="L390" s="17" t="str">
        <f aca="false">IF(AND(A390&gt;=DATE(2014,9,24),A390&lt;=DATE(2014,10,6)),"Promo 1",IF(AND(A390&gt;=DATE(2014,9,10),A390&lt;=DATE(2014,9,23)),"Baseline 1",IF(AND(A390&gt;=DATE(2015,9,23),A390&lt;=DATE(2015,10,6)),"Promo 2",IF(AND(A390&gt;=DATE(2015,9,9),A390&lt;=DATE(2015,9,22)),"Baseline 2",IF(AND(A390&gt;=DATE(2016,6,23),A390&lt;=DATE(2016,7,6)),"Promo 3",IF(AND(A390&gt;=DATE(2016,6,9),A390&lt;=DATE(2016,6,22)),"Baseline 3","Other"))))))</f>
        <v>Other</v>
      </c>
    </row>
    <row r="391" customFormat="false" ht="15" hidden="false" customHeight="true" outlineLevel="0" collapsed="false">
      <c r="A391" s="12" t="n">
        <v>42027</v>
      </c>
      <c r="B391" s="13" t="n">
        <v>154670.890700754</v>
      </c>
      <c r="C391" s="13" t="n">
        <v>158031.791043172</v>
      </c>
      <c r="D391" s="14" t="n">
        <v>3757</v>
      </c>
      <c r="E391" s="15" t="n">
        <f aca="false">B391/D391</f>
        <v>41.1687225714011</v>
      </c>
      <c r="F391" s="15" t="n">
        <f aca="false">C391/D391</f>
        <v>42.0632927982891</v>
      </c>
      <c r="G391" s="13" t="n">
        <f aca="false">B391-C391</f>
        <v>-3360.900342418</v>
      </c>
      <c r="H391" s="16" t="n">
        <f aca="false">G391/B391</f>
        <v>-0.0217293656692029</v>
      </c>
      <c r="I391" s="15" t="n">
        <f aca="false">G391/D391</f>
        <v>-0.894570226887942</v>
      </c>
      <c r="J391" s="16" t="n">
        <f aca="false">I391/E391</f>
        <v>-0.0217293656692029</v>
      </c>
      <c r="K391" s="17" t="str">
        <f aca="false">TEXT(A391,"dddd")</f>
        <v>Friday</v>
      </c>
      <c r="L391" s="17" t="str">
        <f aca="false">IF(AND(A391&gt;=DATE(2014,9,24),A391&lt;=DATE(2014,10,6)),"Promo 1",IF(AND(A391&gt;=DATE(2014,9,10),A391&lt;=DATE(2014,9,23)),"Baseline 1",IF(AND(A391&gt;=DATE(2015,9,23),A391&lt;=DATE(2015,10,6)),"Promo 2",IF(AND(A391&gt;=DATE(2015,9,9),A391&lt;=DATE(2015,9,22)),"Baseline 2",IF(AND(A391&gt;=DATE(2016,6,23),A391&lt;=DATE(2016,7,6)),"Promo 3",IF(AND(A391&gt;=DATE(2016,6,9),A391&lt;=DATE(2016,6,22)),"Baseline 3","Other"))))))</f>
        <v>Other</v>
      </c>
    </row>
    <row r="392" customFormat="false" ht="15" hidden="false" customHeight="true" outlineLevel="0" collapsed="false">
      <c r="A392" s="12" t="n">
        <v>42028</v>
      </c>
      <c r="B392" s="13" t="n">
        <v>158722.105625364</v>
      </c>
      <c r="C392" s="13" t="n">
        <v>162082.418438514</v>
      </c>
      <c r="D392" s="14" t="n">
        <v>3855</v>
      </c>
      <c r="E392" s="15" t="n">
        <f aca="false">B392/D392</f>
        <v>41.1730494488623</v>
      </c>
      <c r="F392" s="15" t="n">
        <f aca="false">C392/D392</f>
        <v>42.0447259243876</v>
      </c>
      <c r="G392" s="13" t="n">
        <f aca="false">B392-C392</f>
        <v>-3360.31281315</v>
      </c>
      <c r="H392" s="16" t="n">
        <f aca="false">G392/B392</f>
        <v>-0.0211710448264934</v>
      </c>
      <c r="I392" s="15" t="n">
        <f aca="false">G392/D392</f>
        <v>-0.871676475525291</v>
      </c>
      <c r="J392" s="16" t="n">
        <f aca="false">I392/E392</f>
        <v>-0.0211710448264934</v>
      </c>
      <c r="K392" s="17" t="str">
        <f aca="false">TEXT(A392,"dddd")</f>
        <v>Saturday</v>
      </c>
      <c r="L392" s="17" t="str">
        <f aca="false">IF(AND(A392&gt;=DATE(2014,9,24),A392&lt;=DATE(2014,10,6)),"Promo 1",IF(AND(A392&gt;=DATE(2014,9,10),A392&lt;=DATE(2014,9,23)),"Baseline 1",IF(AND(A392&gt;=DATE(2015,9,23),A392&lt;=DATE(2015,10,6)),"Promo 2",IF(AND(A392&gt;=DATE(2015,9,9),A392&lt;=DATE(2015,9,22)),"Baseline 2",IF(AND(A392&gt;=DATE(2016,6,23),A392&lt;=DATE(2016,7,6)),"Promo 3",IF(AND(A392&gt;=DATE(2016,6,9),A392&lt;=DATE(2016,6,22)),"Baseline 3","Other"))))))</f>
        <v>Other</v>
      </c>
    </row>
    <row r="393" customFormat="false" ht="15" hidden="false" customHeight="true" outlineLevel="0" collapsed="false">
      <c r="A393" s="12" t="n">
        <v>42029</v>
      </c>
      <c r="B393" s="13" t="n">
        <v>78092.2769220305</v>
      </c>
      <c r="C393" s="13" t="n">
        <v>79795.0431031607</v>
      </c>
      <c r="D393" s="14" t="n">
        <v>1897</v>
      </c>
      <c r="E393" s="15" t="n">
        <f aca="false">B393/D393</f>
        <v>41.1661976394468</v>
      </c>
      <c r="F393" s="15" t="n">
        <f aca="false">C393/D393</f>
        <v>42.063807645314</v>
      </c>
      <c r="G393" s="13" t="n">
        <f aca="false">B393-C393</f>
        <v>-1702.7661811302</v>
      </c>
      <c r="H393" s="16" t="n">
        <f aca="false">G393/B393</f>
        <v>-0.021804540067775</v>
      </c>
      <c r="I393" s="15" t="n">
        <f aca="false">G393/D393</f>
        <v>-0.897610005867262</v>
      </c>
      <c r="J393" s="16" t="n">
        <f aca="false">I393/E393</f>
        <v>-0.021804540067775</v>
      </c>
      <c r="K393" s="17" t="str">
        <f aca="false">TEXT(A393,"dddd")</f>
        <v>Sunday</v>
      </c>
      <c r="L393" s="17" t="str">
        <f aca="false">IF(AND(A393&gt;=DATE(2014,9,24),A393&lt;=DATE(2014,10,6)),"Promo 1",IF(AND(A393&gt;=DATE(2014,9,10),A393&lt;=DATE(2014,9,23)),"Baseline 1",IF(AND(A393&gt;=DATE(2015,9,23),A393&lt;=DATE(2015,10,6)),"Promo 2",IF(AND(A393&gt;=DATE(2015,9,9),A393&lt;=DATE(2015,9,22)),"Baseline 2",IF(AND(A393&gt;=DATE(2016,6,23),A393&lt;=DATE(2016,7,6)),"Promo 3",IF(AND(A393&gt;=DATE(2016,6,9),A393&lt;=DATE(2016,6,22)),"Baseline 3","Other"))))))</f>
        <v>Other</v>
      </c>
    </row>
    <row r="394" customFormat="false" ht="15" hidden="false" customHeight="true" outlineLevel="0" collapsed="false">
      <c r="A394" s="12" t="n">
        <v>42030</v>
      </c>
      <c r="B394" s="13" t="n">
        <v>91830.4020437799</v>
      </c>
      <c r="C394" s="13" t="n">
        <v>93808.0867468724</v>
      </c>
      <c r="D394" s="14" t="n">
        <v>2230</v>
      </c>
      <c r="E394" s="15" t="n">
        <f aca="false">B394/D394</f>
        <v>41.179552486</v>
      </c>
      <c r="F394" s="15" t="n">
        <f aca="false">C394/D394</f>
        <v>42.0664066129473</v>
      </c>
      <c r="G394" s="13" t="n">
        <f aca="false">B394-C394</f>
        <v>-1977.6847030925</v>
      </c>
      <c r="H394" s="16" t="n">
        <f aca="false">G394/B394</f>
        <v>-0.0215362740342751</v>
      </c>
      <c r="I394" s="15" t="n">
        <f aca="false">G394/D394</f>
        <v>-0.886854126947309</v>
      </c>
      <c r="J394" s="16" t="n">
        <f aca="false">I394/E394</f>
        <v>-0.0215362740342751</v>
      </c>
      <c r="K394" s="17" t="str">
        <f aca="false">TEXT(A394,"dddd")</f>
        <v>Monday</v>
      </c>
      <c r="L394" s="17" t="str">
        <f aca="false">IF(AND(A394&gt;=DATE(2014,9,24),A394&lt;=DATE(2014,10,6)),"Promo 1",IF(AND(A394&gt;=DATE(2014,9,10),A394&lt;=DATE(2014,9,23)),"Baseline 1",IF(AND(A394&gt;=DATE(2015,9,23),A394&lt;=DATE(2015,10,6)),"Promo 2",IF(AND(A394&gt;=DATE(2015,9,9),A394&lt;=DATE(2015,9,22)),"Baseline 2",IF(AND(A394&gt;=DATE(2016,6,23),A394&lt;=DATE(2016,7,6)),"Promo 3",IF(AND(A394&gt;=DATE(2016,6,9),A394&lt;=DATE(2016,6,22)),"Baseline 3","Other"))))))</f>
        <v>Other</v>
      </c>
    </row>
    <row r="395" customFormat="false" ht="15" hidden="false" customHeight="true" outlineLevel="0" collapsed="false">
      <c r="A395" s="12" t="n">
        <v>42031</v>
      </c>
      <c r="B395" s="13" t="n">
        <v>76992.9356832105</v>
      </c>
      <c r="C395" s="13" t="n">
        <v>78614.4577533758</v>
      </c>
      <c r="D395" s="14" t="n">
        <v>1870</v>
      </c>
      <c r="E395" s="15" t="n">
        <f aca="false">B395/D395</f>
        <v>41.1726928787222</v>
      </c>
      <c r="F395" s="15" t="n">
        <f aca="false">C395/D395</f>
        <v>42.0398169804149</v>
      </c>
      <c r="G395" s="13" t="n">
        <f aca="false">B395-C395</f>
        <v>-1621.5220701653</v>
      </c>
      <c r="H395" s="16" t="n">
        <f aca="false">G395/B395</f>
        <v>-0.0210606603810653</v>
      </c>
      <c r="I395" s="15" t="n">
        <f aca="false">G395/D395</f>
        <v>-0.867124101692675</v>
      </c>
      <c r="J395" s="16" t="n">
        <f aca="false">I395/E395</f>
        <v>-0.0210606603810653</v>
      </c>
      <c r="K395" s="17" t="str">
        <f aca="false">TEXT(A395,"dddd")</f>
        <v>Tuesday</v>
      </c>
      <c r="L395" s="17" t="str">
        <f aca="false">IF(AND(A395&gt;=DATE(2014,9,24),A395&lt;=DATE(2014,10,6)),"Promo 1",IF(AND(A395&gt;=DATE(2014,9,10),A395&lt;=DATE(2014,9,23)),"Baseline 1",IF(AND(A395&gt;=DATE(2015,9,23),A395&lt;=DATE(2015,10,6)),"Promo 2",IF(AND(A395&gt;=DATE(2015,9,9),A395&lt;=DATE(2015,9,22)),"Baseline 2",IF(AND(A395&gt;=DATE(2016,6,23),A395&lt;=DATE(2016,7,6)),"Promo 3",IF(AND(A395&gt;=DATE(2016,6,9),A395&lt;=DATE(2016,6,22)),"Baseline 3","Other"))))))</f>
        <v>Other</v>
      </c>
    </row>
    <row r="396" customFormat="false" ht="15" hidden="false" customHeight="true" outlineLevel="0" collapsed="false">
      <c r="A396" s="12" t="n">
        <v>42032</v>
      </c>
      <c r="B396" s="13" t="n">
        <v>59897.7158799404</v>
      </c>
      <c r="C396" s="13" t="n">
        <v>61194.1802558896</v>
      </c>
      <c r="D396" s="14" t="n">
        <v>1455</v>
      </c>
      <c r="E396" s="15" t="n">
        <f aca="false">B396/D396</f>
        <v>41.1668150377597</v>
      </c>
      <c r="F396" s="15" t="n">
        <f aca="false">C396/D396</f>
        <v>42.0578558459722</v>
      </c>
      <c r="G396" s="13" t="n">
        <f aca="false">B396-C396</f>
        <v>-1296.4643759492</v>
      </c>
      <c r="H396" s="16" t="n">
        <f aca="false">G396/B396</f>
        <v>-0.0216446379783137</v>
      </c>
      <c r="I396" s="15" t="n">
        <f aca="false">G396/D396</f>
        <v>-0.891040808212511</v>
      </c>
      <c r="J396" s="16" t="n">
        <f aca="false">I396/E396</f>
        <v>-0.0216446379783137</v>
      </c>
      <c r="K396" s="17" t="str">
        <f aca="false">TEXT(A396,"dddd")</f>
        <v>Wednesday</v>
      </c>
      <c r="L396" s="17" t="str">
        <f aca="false">IF(AND(A396&gt;=DATE(2014,9,24),A396&lt;=DATE(2014,10,6)),"Promo 1",IF(AND(A396&gt;=DATE(2014,9,10),A396&lt;=DATE(2014,9,23)),"Baseline 1",IF(AND(A396&gt;=DATE(2015,9,23),A396&lt;=DATE(2015,10,6)),"Promo 2",IF(AND(A396&gt;=DATE(2015,9,9),A396&lt;=DATE(2015,9,22)),"Baseline 2",IF(AND(A396&gt;=DATE(2016,6,23),A396&lt;=DATE(2016,7,6)),"Promo 3",IF(AND(A396&gt;=DATE(2016,6,9),A396&lt;=DATE(2016,6,22)),"Baseline 3","Other"))))))</f>
        <v>Other</v>
      </c>
    </row>
    <row r="397" customFormat="false" ht="15" hidden="false" customHeight="true" outlineLevel="0" collapsed="false">
      <c r="A397" s="12" t="n">
        <v>42033</v>
      </c>
      <c r="B397" s="13" t="n">
        <v>57310.1940423204</v>
      </c>
      <c r="C397" s="13" t="n">
        <v>58531.4109851865</v>
      </c>
      <c r="D397" s="14" t="n">
        <v>1392</v>
      </c>
      <c r="E397" s="15" t="n">
        <f aca="false">B397/D397</f>
        <v>41.1711164097129</v>
      </c>
      <c r="F397" s="15" t="n">
        <f aca="false">C397/D397</f>
        <v>42.0484274318869</v>
      </c>
      <c r="G397" s="13" t="n">
        <f aca="false">B397-C397</f>
        <v>-1221.2169428661</v>
      </c>
      <c r="H397" s="16" t="n">
        <f aca="false">G397/B397</f>
        <v>-0.0213088956209832</v>
      </c>
      <c r="I397" s="15" t="n">
        <f aca="false">G397/D397</f>
        <v>-0.877311022173922</v>
      </c>
      <c r="J397" s="16" t="n">
        <f aca="false">I397/E397</f>
        <v>-0.0213088956209832</v>
      </c>
      <c r="K397" s="17" t="str">
        <f aca="false">TEXT(A397,"dddd")</f>
        <v>Thursday</v>
      </c>
      <c r="L397" s="17" t="str">
        <f aca="false">IF(AND(A397&gt;=DATE(2014,9,24),A397&lt;=DATE(2014,10,6)),"Promo 1",IF(AND(A397&gt;=DATE(2014,9,10),A397&lt;=DATE(2014,9,23)),"Baseline 1",IF(AND(A397&gt;=DATE(2015,9,23),A397&lt;=DATE(2015,10,6)),"Promo 2",IF(AND(A397&gt;=DATE(2015,9,9),A397&lt;=DATE(2015,9,22)),"Baseline 2",IF(AND(A397&gt;=DATE(2016,6,23),A397&lt;=DATE(2016,7,6)),"Promo 3",IF(AND(A397&gt;=DATE(2016,6,9),A397&lt;=DATE(2016,6,22)),"Baseline 3","Other"))))))</f>
        <v>Other</v>
      </c>
    </row>
    <row r="398" customFormat="false" ht="15" hidden="false" customHeight="true" outlineLevel="0" collapsed="false">
      <c r="A398" s="12" t="n">
        <v>42034</v>
      </c>
      <c r="B398" s="13" t="n">
        <v>134540.214465738</v>
      </c>
      <c r="C398" s="13" t="n">
        <v>137221.537473577</v>
      </c>
      <c r="D398" s="14" t="n">
        <v>3268</v>
      </c>
      <c r="E398" s="15" t="n">
        <f aca="false">B398/D398</f>
        <v>41.1689762747056</v>
      </c>
      <c r="F398" s="15" t="n">
        <f aca="false">C398/D398</f>
        <v>41.9894545512782</v>
      </c>
      <c r="G398" s="13" t="n">
        <f aca="false">B398-C398</f>
        <v>-2681.32300783898</v>
      </c>
      <c r="H398" s="16" t="n">
        <f aca="false">G398/B398</f>
        <v>-0.0199295282714285</v>
      </c>
      <c r="I398" s="15" t="n">
        <f aca="false">G398/D398</f>
        <v>-0.820478276572514</v>
      </c>
      <c r="J398" s="16" t="n">
        <f aca="false">I398/E398</f>
        <v>-0.0199295282714285</v>
      </c>
      <c r="K398" s="17" t="str">
        <f aca="false">TEXT(A398,"dddd")</f>
        <v>Friday</v>
      </c>
      <c r="L398" s="17" t="str">
        <f aca="false">IF(AND(A398&gt;=DATE(2014,9,24),A398&lt;=DATE(2014,10,6)),"Promo 1",IF(AND(A398&gt;=DATE(2014,9,10),A398&lt;=DATE(2014,9,23)),"Baseline 1",IF(AND(A398&gt;=DATE(2015,9,23),A398&lt;=DATE(2015,10,6)),"Promo 2",IF(AND(A398&gt;=DATE(2015,9,9),A398&lt;=DATE(2015,9,22)),"Baseline 2",IF(AND(A398&gt;=DATE(2016,6,23),A398&lt;=DATE(2016,7,6)),"Promo 3",IF(AND(A398&gt;=DATE(2016,6,9),A398&lt;=DATE(2016,6,22)),"Baseline 3","Other"))))))</f>
        <v>Other</v>
      </c>
    </row>
    <row r="399" customFormat="false" ht="15" hidden="false" customHeight="true" outlineLevel="0" collapsed="false">
      <c r="A399" s="12" t="n">
        <v>42035</v>
      </c>
      <c r="B399" s="13" t="n">
        <v>200193.61199916</v>
      </c>
      <c r="C399" s="13" t="n">
        <v>203814.736389085</v>
      </c>
      <c r="D399" s="14" t="n">
        <v>4862</v>
      </c>
      <c r="E399" s="15" t="n">
        <f aca="false">B399/D399</f>
        <v>41.1751567254545</v>
      </c>
      <c r="F399" s="15" t="n">
        <f aca="false">C399/D399</f>
        <v>41.9199375543161</v>
      </c>
      <c r="G399" s="13" t="n">
        <f aca="false">B399-C399</f>
        <v>-3621.12438992501</v>
      </c>
      <c r="H399" s="16" t="n">
        <f aca="false">G399/B399</f>
        <v>-0.0180881115724122</v>
      </c>
      <c r="I399" s="15" t="n">
        <f aca="false">G399/D399</f>
        <v>-0.744780828861582</v>
      </c>
      <c r="J399" s="16" t="n">
        <f aca="false">I399/E399</f>
        <v>-0.0180881115724122</v>
      </c>
      <c r="K399" s="17" t="str">
        <f aca="false">TEXT(A399,"dddd")</f>
        <v>Saturday</v>
      </c>
      <c r="L399" s="17" t="str">
        <f aca="false">IF(AND(A399&gt;=DATE(2014,9,24),A399&lt;=DATE(2014,10,6)),"Promo 1",IF(AND(A399&gt;=DATE(2014,9,10),A399&lt;=DATE(2014,9,23)),"Baseline 1",IF(AND(A399&gt;=DATE(2015,9,23),A399&lt;=DATE(2015,10,6)),"Promo 2",IF(AND(A399&gt;=DATE(2015,9,9),A399&lt;=DATE(2015,9,22)),"Baseline 2",IF(AND(A399&gt;=DATE(2016,6,23),A399&lt;=DATE(2016,7,6)),"Promo 3",IF(AND(A399&gt;=DATE(2016,6,9),A399&lt;=DATE(2016,6,22)),"Baseline 3","Other"))))))</f>
        <v>Other</v>
      </c>
    </row>
    <row r="400" customFormat="false" ht="15" hidden="false" customHeight="true" outlineLevel="0" collapsed="false">
      <c r="A400" s="12" t="n">
        <v>42036</v>
      </c>
      <c r="B400" s="13" t="n">
        <v>171469.930529663</v>
      </c>
      <c r="C400" s="13" t="n">
        <v>174652.457989964</v>
      </c>
      <c r="D400" s="14" t="n">
        <v>4165</v>
      </c>
      <c r="E400" s="15" t="n">
        <f aca="false">B400/D400</f>
        <v>41.1692510275301</v>
      </c>
      <c r="F400" s="15" t="n">
        <f aca="false">C400/D400</f>
        <v>41.9333632628965</v>
      </c>
      <c r="G400" s="13" t="n">
        <f aca="false">B400-C400</f>
        <v>-3182.527460301</v>
      </c>
      <c r="H400" s="16" t="n">
        <f aca="false">G400/B400</f>
        <v>-0.0185602656423218</v>
      </c>
      <c r="I400" s="15" t="n">
        <f aca="false">G400/D400</f>
        <v>-0.764112235366388</v>
      </c>
      <c r="J400" s="16" t="n">
        <f aca="false">I400/E400</f>
        <v>-0.0185602656423218</v>
      </c>
      <c r="K400" s="17" t="str">
        <f aca="false">TEXT(A400,"dddd")</f>
        <v>Sunday</v>
      </c>
      <c r="L400" s="17" t="str">
        <f aca="false">IF(AND(A400&gt;=DATE(2014,9,24),A400&lt;=DATE(2014,10,6)),"Promo 1",IF(AND(A400&gt;=DATE(2014,9,10),A400&lt;=DATE(2014,9,23)),"Baseline 1",IF(AND(A400&gt;=DATE(2015,9,23),A400&lt;=DATE(2015,10,6)),"Promo 2",IF(AND(A400&gt;=DATE(2015,9,9),A400&lt;=DATE(2015,9,22)),"Baseline 2",IF(AND(A400&gt;=DATE(2016,6,23),A400&lt;=DATE(2016,7,6)),"Promo 3",IF(AND(A400&gt;=DATE(2016,6,9),A400&lt;=DATE(2016,6,22)),"Baseline 3","Other"))))))</f>
        <v>Other</v>
      </c>
    </row>
    <row r="401" customFormat="false" ht="15" hidden="false" customHeight="true" outlineLevel="0" collapsed="false">
      <c r="A401" s="12" t="n">
        <v>42037</v>
      </c>
      <c r="B401" s="13" t="n">
        <v>151737.218832465</v>
      </c>
      <c r="C401" s="13" t="n">
        <v>154148.598813022</v>
      </c>
      <c r="D401" s="14" t="n">
        <v>3685</v>
      </c>
      <c r="E401" s="15" t="n">
        <f aca="false">B401/D401</f>
        <v>41.176992898905</v>
      </c>
      <c r="F401" s="15" t="n">
        <f aca="false">C401/D401</f>
        <v>41.8313700985134</v>
      </c>
      <c r="G401" s="13" t="n">
        <f aca="false">B401-C401</f>
        <v>-2411.37998055699</v>
      </c>
      <c r="H401" s="16" t="n">
        <f aca="false">G401/B401</f>
        <v>-0.0158918161220513</v>
      </c>
      <c r="I401" s="15" t="n">
        <f aca="false">G401/D401</f>
        <v>-0.654377199608409</v>
      </c>
      <c r="J401" s="16" t="n">
        <f aca="false">I401/E401</f>
        <v>-0.0158918161220513</v>
      </c>
      <c r="K401" s="17" t="str">
        <f aca="false">TEXT(A401,"dddd")</f>
        <v>Monday</v>
      </c>
      <c r="L401" s="17" t="str">
        <f aca="false">IF(AND(A401&gt;=DATE(2014,9,24),A401&lt;=DATE(2014,10,6)),"Promo 1",IF(AND(A401&gt;=DATE(2014,9,10),A401&lt;=DATE(2014,9,23)),"Baseline 1",IF(AND(A401&gt;=DATE(2015,9,23),A401&lt;=DATE(2015,10,6)),"Promo 2",IF(AND(A401&gt;=DATE(2015,9,9),A401&lt;=DATE(2015,9,22)),"Baseline 2",IF(AND(A401&gt;=DATE(2016,6,23),A401&lt;=DATE(2016,7,6)),"Promo 3",IF(AND(A401&gt;=DATE(2016,6,9),A401&lt;=DATE(2016,6,22)),"Baseline 3","Other"))))))</f>
        <v>Other</v>
      </c>
    </row>
    <row r="402" customFormat="false" ht="15" hidden="false" customHeight="true" outlineLevel="0" collapsed="false">
      <c r="A402" s="12" t="n">
        <v>42038</v>
      </c>
      <c r="B402" s="13" t="n">
        <v>102072.443405579</v>
      </c>
      <c r="C402" s="13" t="n">
        <v>103634.964229016</v>
      </c>
      <c r="D402" s="14" t="n">
        <v>2479</v>
      </c>
      <c r="E402" s="15" t="n">
        <f aca="false">B402/D402</f>
        <v>41.174846069213</v>
      </c>
      <c r="F402" s="15" t="n">
        <f aca="false">C402/D402</f>
        <v>41.8051489427253</v>
      </c>
      <c r="G402" s="13" t="n">
        <f aca="false">B402-C402</f>
        <v>-1562.52082343699</v>
      </c>
      <c r="H402" s="16" t="n">
        <f aca="false">G402/B402</f>
        <v>-0.0153079594384589</v>
      </c>
      <c r="I402" s="15" t="n">
        <f aca="false">G402/D402</f>
        <v>-0.630302873512301</v>
      </c>
      <c r="J402" s="16" t="n">
        <f aca="false">I402/E402</f>
        <v>-0.0153079594384589</v>
      </c>
      <c r="K402" s="17" t="str">
        <f aca="false">TEXT(A402,"dddd")</f>
        <v>Tuesday</v>
      </c>
      <c r="L402" s="17" t="str">
        <f aca="false">IF(AND(A402&gt;=DATE(2014,9,24),A402&lt;=DATE(2014,10,6)),"Promo 1",IF(AND(A402&gt;=DATE(2014,9,10),A402&lt;=DATE(2014,9,23)),"Baseline 1",IF(AND(A402&gt;=DATE(2015,9,23),A402&lt;=DATE(2015,10,6)),"Promo 2",IF(AND(A402&gt;=DATE(2015,9,9),A402&lt;=DATE(2015,9,22)),"Baseline 2",IF(AND(A402&gt;=DATE(2016,6,23),A402&lt;=DATE(2016,7,6)),"Promo 3",IF(AND(A402&gt;=DATE(2016,6,9),A402&lt;=DATE(2016,6,22)),"Baseline 3","Other"))))))</f>
        <v>Other</v>
      </c>
    </row>
    <row r="403" customFormat="false" ht="15" hidden="false" customHeight="true" outlineLevel="0" collapsed="false">
      <c r="A403" s="12" t="n">
        <v>42039</v>
      </c>
      <c r="B403" s="13" t="n">
        <v>82514.1051200304</v>
      </c>
      <c r="C403" s="13" t="n">
        <v>83232.3913673621</v>
      </c>
      <c r="D403" s="14" t="n">
        <v>2005</v>
      </c>
      <c r="E403" s="15" t="n">
        <f aca="false">B403/D403</f>
        <v>41.1541671421598</v>
      </c>
      <c r="F403" s="15" t="n">
        <f aca="false">C403/D403</f>
        <v>41.5124146470634</v>
      </c>
      <c r="G403" s="13" t="n">
        <f aca="false">B403-C403</f>
        <v>-718.286247331693</v>
      </c>
      <c r="H403" s="16" t="n">
        <f aca="false">G403/B403</f>
        <v>-0.0087050116617859</v>
      </c>
      <c r="I403" s="15" t="n">
        <f aca="false">G403/D403</f>
        <v>-0.358247504903587</v>
      </c>
      <c r="J403" s="16" t="n">
        <f aca="false">I403/E403</f>
        <v>-0.0087050116617859</v>
      </c>
      <c r="K403" s="17" t="str">
        <f aca="false">TEXT(A403,"dddd")</f>
        <v>Wednesday</v>
      </c>
      <c r="L403" s="17" t="str">
        <f aca="false">IF(AND(A403&gt;=DATE(2014,9,24),A403&lt;=DATE(2014,10,6)),"Promo 1",IF(AND(A403&gt;=DATE(2014,9,10),A403&lt;=DATE(2014,9,23)),"Baseline 1",IF(AND(A403&gt;=DATE(2015,9,23),A403&lt;=DATE(2015,10,6)),"Promo 2",IF(AND(A403&gt;=DATE(2015,9,9),A403&lt;=DATE(2015,9,22)),"Baseline 2",IF(AND(A403&gt;=DATE(2016,6,23),A403&lt;=DATE(2016,7,6)),"Promo 3",IF(AND(A403&gt;=DATE(2016,6,9),A403&lt;=DATE(2016,6,22)),"Baseline 3","Other"))))))</f>
        <v>Other</v>
      </c>
    </row>
    <row r="404" customFormat="false" ht="15" hidden="false" customHeight="true" outlineLevel="0" collapsed="false">
      <c r="A404" s="12" t="n">
        <v>42040</v>
      </c>
      <c r="B404" s="13" t="n">
        <v>46211.3324580703</v>
      </c>
      <c r="C404" s="13" t="n">
        <v>46407.299117269</v>
      </c>
      <c r="D404" s="14" t="n">
        <v>1122</v>
      </c>
      <c r="E404" s="15" t="n">
        <f aca="false">B404/D404</f>
        <v>41.1865708182445</v>
      </c>
      <c r="F404" s="15" t="n">
        <f aca="false">C404/D404</f>
        <v>41.3612291597763</v>
      </c>
      <c r="G404" s="13" t="n">
        <f aca="false">B404-C404</f>
        <v>-195.966659198704</v>
      </c>
      <c r="H404" s="16" t="n">
        <f aca="false">G404/B404</f>
        <v>-0.00424066238246893</v>
      </c>
      <c r="I404" s="15" t="n">
        <f aca="false">G404/D404</f>
        <v>-0.174658341531822</v>
      </c>
      <c r="J404" s="16" t="n">
        <f aca="false">I404/E404</f>
        <v>-0.00424066238246893</v>
      </c>
      <c r="K404" s="17" t="str">
        <f aca="false">TEXT(A404,"dddd")</f>
        <v>Thursday</v>
      </c>
      <c r="L404" s="17" t="str">
        <f aca="false">IF(AND(A404&gt;=DATE(2014,9,24),A404&lt;=DATE(2014,10,6)),"Promo 1",IF(AND(A404&gt;=DATE(2014,9,10),A404&lt;=DATE(2014,9,23)),"Baseline 1",IF(AND(A404&gt;=DATE(2015,9,23),A404&lt;=DATE(2015,10,6)),"Promo 2",IF(AND(A404&gt;=DATE(2015,9,9),A404&lt;=DATE(2015,9,22)),"Baseline 2",IF(AND(A404&gt;=DATE(2016,6,23),A404&lt;=DATE(2016,7,6)),"Promo 3",IF(AND(A404&gt;=DATE(2016,6,9),A404&lt;=DATE(2016,6,22)),"Baseline 3","Other"))))))</f>
        <v>Other</v>
      </c>
    </row>
    <row r="405" customFormat="false" ht="15" hidden="false" customHeight="true" outlineLevel="0" collapsed="false">
      <c r="A405" s="12" t="n">
        <v>42041</v>
      </c>
      <c r="B405" s="13" t="n">
        <v>85730.4148104601</v>
      </c>
      <c r="C405" s="13" t="n">
        <v>85765.7093360616</v>
      </c>
      <c r="D405" s="14" t="n">
        <v>2082</v>
      </c>
      <c r="E405" s="15" t="n">
        <f aca="false">B405/D405</f>
        <v>41.1769523585303</v>
      </c>
      <c r="F405" s="15" t="n">
        <f aca="false">C405/D405</f>
        <v>41.1939045802409</v>
      </c>
      <c r="G405" s="13" t="n">
        <f aca="false">B405-C405</f>
        <v>-35.2945256014937</v>
      </c>
      <c r="H405" s="16" t="n">
        <f aca="false">G405/B405</f>
        <v>-0.000411691996119764</v>
      </c>
      <c r="I405" s="15" t="n">
        <f aca="false">G405/D405</f>
        <v>-0.0169522217106118</v>
      </c>
      <c r="J405" s="16" t="n">
        <f aca="false">I405/E405</f>
        <v>-0.000411691996119764</v>
      </c>
      <c r="K405" s="17" t="str">
        <f aca="false">TEXT(A405,"dddd")</f>
        <v>Friday</v>
      </c>
      <c r="L405" s="17" t="str">
        <f aca="false">IF(AND(A405&gt;=DATE(2014,9,24),A405&lt;=DATE(2014,10,6)),"Promo 1",IF(AND(A405&gt;=DATE(2014,9,10),A405&lt;=DATE(2014,9,23)),"Baseline 1",IF(AND(A405&gt;=DATE(2015,9,23),A405&lt;=DATE(2015,10,6)),"Promo 2",IF(AND(A405&gt;=DATE(2015,9,9),A405&lt;=DATE(2015,9,22)),"Baseline 2",IF(AND(A405&gt;=DATE(2016,6,23),A405&lt;=DATE(2016,7,6)),"Promo 3",IF(AND(A405&gt;=DATE(2016,6,9),A405&lt;=DATE(2016,6,22)),"Baseline 3","Other"))))))</f>
        <v>Other</v>
      </c>
    </row>
    <row r="406" customFormat="false" ht="15" hidden="false" customHeight="true" outlineLevel="0" collapsed="false">
      <c r="A406" s="12" t="n">
        <v>42042</v>
      </c>
      <c r="B406" s="13" t="n">
        <v>105918.293290608</v>
      </c>
      <c r="C406" s="13" t="n">
        <v>105662.5562409</v>
      </c>
      <c r="D406" s="14" t="n">
        <v>2573</v>
      </c>
      <c r="E406" s="15" t="n">
        <f aca="false">B406/D406</f>
        <v>41.1652908241772</v>
      </c>
      <c r="F406" s="15" t="n">
        <f aca="false">C406/D406</f>
        <v>41.0658982669646</v>
      </c>
      <c r="G406" s="13" t="n">
        <f aca="false">B406-C406</f>
        <v>255.737049707997</v>
      </c>
      <c r="H406" s="16" t="n">
        <f aca="false">G406/B406</f>
        <v>0.00241447479715644</v>
      </c>
      <c r="I406" s="15" t="n">
        <f aca="false">G406/D406</f>
        <v>0.0993925572125913</v>
      </c>
      <c r="J406" s="16" t="n">
        <f aca="false">I406/E406</f>
        <v>0.00241447479715644</v>
      </c>
      <c r="K406" s="17" t="str">
        <f aca="false">TEXT(A406,"dddd")</f>
        <v>Saturday</v>
      </c>
      <c r="L406" s="17" t="str">
        <f aca="false">IF(AND(A406&gt;=DATE(2014,9,24),A406&lt;=DATE(2014,10,6)),"Promo 1",IF(AND(A406&gt;=DATE(2014,9,10),A406&lt;=DATE(2014,9,23)),"Baseline 1",IF(AND(A406&gt;=DATE(2015,9,23),A406&lt;=DATE(2015,10,6)),"Promo 2",IF(AND(A406&gt;=DATE(2015,9,9),A406&lt;=DATE(2015,9,22)),"Baseline 2",IF(AND(A406&gt;=DATE(2016,6,23),A406&lt;=DATE(2016,7,6)),"Promo 3",IF(AND(A406&gt;=DATE(2016,6,9),A406&lt;=DATE(2016,6,22)),"Baseline 3","Other"))))))</f>
        <v>Other</v>
      </c>
    </row>
    <row r="407" customFormat="false" ht="15" hidden="false" customHeight="true" outlineLevel="0" collapsed="false">
      <c r="A407" s="12" t="n">
        <v>42043</v>
      </c>
      <c r="B407" s="13" t="n">
        <v>73041.6608712205</v>
      </c>
      <c r="C407" s="13" t="n">
        <v>73046.2338996768</v>
      </c>
      <c r="D407" s="14" t="n">
        <v>1774</v>
      </c>
      <c r="E407" s="15" t="n">
        <f aca="false">B407/D407</f>
        <v>41.1734277740815</v>
      </c>
      <c r="F407" s="15" t="n">
        <f aca="false">C407/D407</f>
        <v>41.1760055804266</v>
      </c>
      <c r="G407" s="13" t="n">
        <f aca="false">B407-C407</f>
        <v>-4.57302845628874</v>
      </c>
      <c r="H407" s="16" t="n">
        <f aca="false">G407/B407</f>
        <v>-6.26084949567539E-005</v>
      </c>
      <c r="I407" s="15" t="n">
        <f aca="false">G407/D407</f>
        <v>-0.00257780634514585</v>
      </c>
      <c r="J407" s="16" t="n">
        <f aca="false">I407/E407</f>
        <v>-6.26084949567539E-005</v>
      </c>
      <c r="K407" s="17" t="str">
        <f aca="false">TEXT(A407,"dddd")</f>
        <v>Sunday</v>
      </c>
      <c r="L407" s="17" t="str">
        <f aca="false">IF(AND(A407&gt;=DATE(2014,9,24),A407&lt;=DATE(2014,10,6)),"Promo 1",IF(AND(A407&gt;=DATE(2014,9,10),A407&lt;=DATE(2014,9,23)),"Baseline 1",IF(AND(A407&gt;=DATE(2015,9,23),A407&lt;=DATE(2015,10,6)),"Promo 2",IF(AND(A407&gt;=DATE(2015,9,9),A407&lt;=DATE(2015,9,22)),"Baseline 2",IF(AND(A407&gt;=DATE(2016,6,23),A407&lt;=DATE(2016,7,6)),"Promo 3",IF(AND(A407&gt;=DATE(2016,6,9),A407&lt;=DATE(2016,6,22)),"Baseline 3","Other"))))))</f>
        <v>Other</v>
      </c>
    </row>
    <row r="408" customFormat="false" ht="15" hidden="false" customHeight="true" outlineLevel="0" collapsed="false">
      <c r="A408" s="12" t="n">
        <v>42044</v>
      </c>
      <c r="B408" s="13" t="n">
        <v>97908.5470960987</v>
      </c>
      <c r="C408" s="13" t="n">
        <v>97097.9365901931</v>
      </c>
      <c r="D408" s="14" t="n">
        <v>2378</v>
      </c>
      <c r="E408" s="15" t="n">
        <f aca="false">B408/D408</f>
        <v>41.1726438587463</v>
      </c>
      <c r="F408" s="15" t="n">
        <f aca="false">C408/D408</f>
        <v>40.8317647561788</v>
      </c>
      <c r="G408" s="13" t="n">
        <f aca="false">B408-C408</f>
        <v>810.610505905599</v>
      </c>
      <c r="H408" s="16" t="n">
        <f aca="false">G408/B408</f>
        <v>0.00827926192296545</v>
      </c>
      <c r="I408" s="15" t="n">
        <f aca="false">G408/D408</f>
        <v>0.340879102567535</v>
      </c>
      <c r="J408" s="16" t="n">
        <f aca="false">I408/E408</f>
        <v>0.00827926192296545</v>
      </c>
      <c r="K408" s="17" t="str">
        <f aca="false">TEXT(A408,"dddd")</f>
        <v>Monday</v>
      </c>
      <c r="L408" s="17" t="str">
        <f aca="false">IF(AND(A408&gt;=DATE(2014,9,24),A408&lt;=DATE(2014,10,6)),"Promo 1",IF(AND(A408&gt;=DATE(2014,9,10),A408&lt;=DATE(2014,9,23)),"Baseline 1",IF(AND(A408&gt;=DATE(2015,9,23),A408&lt;=DATE(2015,10,6)),"Promo 2",IF(AND(A408&gt;=DATE(2015,9,9),A408&lt;=DATE(2015,9,22)),"Baseline 2",IF(AND(A408&gt;=DATE(2016,6,23),A408&lt;=DATE(2016,7,6)),"Promo 3",IF(AND(A408&gt;=DATE(2016,6,9),A408&lt;=DATE(2016,6,22)),"Baseline 3","Other"))))))</f>
        <v>Other</v>
      </c>
    </row>
    <row r="409" customFormat="false" ht="15" hidden="false" customHeight="true" outlineLevel="0" collapsed="false">
      <c r="A409" s="12" t="n">
        <v>42045</v>
      </c>
      <c r="B409" s="13" t="n">
        <v>138667.415911136</v>
      </c>
      <c r="C409" s="13" t="n">
        <v>148522.84902042</v>
      </c>
      <c r="D409" s="14" t="n">
        <v>3677</v>
      </c>
      <c r="E409" s="15" t="n">
        <f aca="false">B409/D409</f>
        <v>37.7121065844808</v>
      </c>
      <c r="F409" s="15" t="n">
        <f aca="false">C409/D409</f>
        <v>40.3923984281806</v>
      </c>
      <c r="G409" s="13" t="n">
        <f aca="false">B409-C409</f>
        <v>-9855.433109284</v>
      </c>
      <c r="H409" s="16" t="n">
        <f aca="false">G409/B409</f>
        <v>-0.0710724509036772</v>
      </c>
      <c r="I409" s="15" t="n">
        <f aca="false">G409/D409</f>
        <v>-2.68029184369976</v>
      </c>
      <c r="J409" s="16" t="n">
        <f aca="false">I409/E409</f>
        <v>-0.0710724509036772</v>
      </c>
      <c r="K409" s="17" t="str">
        <f aca="false">TEXT(A409,"dddd")</f>
        <v>Tuesday</v>
      </c>
      <c r="L409" s="17" t="str">
        <f aca="false">IF(AND(A409&gt;=DATE(2014,9,24),A409&lt;=DATE(2014,10,6)),"Promo 1",IF(AND(A409&gt;=DATE(2014,9,10),A409&lt;=DATE(2014,9,23)),"Baseline 1",IF(AND(A409&gt;=DATE(2015,9,23),A409&lt;=DATE(2015,10,6)),"Promo 2",IF(AND(A409&gt;=DATE(2015,9,9),A409&lt;=DATE(2015,9,22)),"Baseline 2",IF(AND(A409&gt;=DATE(2016,6,23),A409&lt;=DATE(2016,7,6)),"Promo 3",IF(AND(A409&gt;=DATE(2016,6,9),A409&lt;=DATE(2016,6,22)),"Baseline 3","Other"))))))</f>
        <v>Other</v>
      </c>
    </row>
    <row r="410" customFormat="false" ht="15" hidden="false" customHeight="true" outlineLevel="0" collapsed="false">
      <c r="A410" s="12" t="n">
        <v>42046</v>
      </c>
      <c r="B410" s="13" t="n">
        <v>162162.103518324</v>
      </c>
      <c r="C410" s="13" t="n">
        <v>173661.827835086</v>
      </c>
      <c r="D410" s="14" t="n">
        <v>4299</v>
      </c>
      <c r="E410" s="15" t="n">
        <f aca="false">B410/D410</f>
        <v>37.7208893971445</v>
      </c>
      <c r="F410" s="15" t="n">
        <f aca="false">C410/D410</f>
        <v>40.3958659769914</v>
      </c>
      <c r="G410" s="13" t="n">
        <f aca="false">B410-C410</f>
        <v>-11499.724316762</v>
      </c>
      <c r="H410" s="16" t="n">
        <f aca="false">G410/B410</f>
        <v>-0.0709149922655176</v>
      </c>
      <c r="I410" s="15" t="n">
        <f aca="false">G410/D410</f>
        <v>-2.67497657984694</v>
      </c>
      <c r="J410" s="16" t="n">
        <f aca="false">I410/E410</f>
        <v>-0.0709149922655176</v>
      </c>
      <c r="K410" s="17" t="str">
        <f aca="false">TEXT(A410,"dddd")</f>
        <v>Wednesday</v>
      </c>
      <c r="L410" s="17" t="str">
        <f aca="false">IF(AND(A410&gt;=DATE(2014,9,24),A410&lt;=DATE(2014,10,6)),"Promo 1",IF(AND(A410&gt;=DATE(2014,9,10),A410&lt;=DATE(2014,9,23)),"Baseline 1",IF(AND(A410&gt;=DATE(2015,9,23),A410&lt;=DATE(2015,10,6)),"Promo 2",IF(AND(A410&gt;=DATE(2015,9,9),A410&lt;=DATE(2015,9,22)),"Baseline 2",IF(AND(A410&gt;=DATE(2016,6,23),A410&lt;=DATE(2016,7,6)),"Promo 3",IF(AND(A410&gt;=DATE(2016,6,9),A410&lt;=DATE(2016,6,22)),"Baseline 3","Other"))))))</f>
        <v>Other</v>
      </c>
    </row>
    <row r="411" customFormat="false" ht="15" hidden="false" customHeight="true" outlineLevel="0" collapsed="false">
      <c r="A411" s="12" t="n">
        <v>42047</v>
      </c>
      <c r="B411" s="13" t="n">
        <v>138520.126803926</v>
      </c>
      <c r="C411" s="13" t="n">
        <v>147756.342793815</v>
      </c>
      <c r="D411" s="14" t="n">
        <v>3674</v>
      </c>
      <c r="E411" s="15" t="n">
        <f aca="false">B411/D411</f>
        <v>37.7028107795117</v>
      </c>
      <c r="F411" s="15" t="n">
        <f aca="false">C411/D411</f>
        <v>40.2167508965201</v>
      </c>
      <c r="G411" s="13" t="n">
        <f aca="false">B411-C411</f>
        <v>-9236.21598988902</v>
      </c>
      <c r="H411" s="16" t="n">
        <f aca="false">G411/B411</f>
        <v>-0.0666777904626294</v>
      </c>
      <c r="I411" s="15" t="n">
        <f aca="false">G411/D411</f>
        <v>-2.51394011700844</v>
      </c>
      <c r="J411" s="16" t="n">
        <f aca="false">I411/E411</f>
        <v>-0.0666777904626293</v>
      </c>
      <c r="K411" s="17" t="str">
        <f aca="false">TEXT(A411,"dddd")</f>
        <v>Thursday</v>
      </c>
      <c r="L411" s="17" t="str">
        <f aca="false">IF(AND(A411&gt;=DATE(2014,9,24),A411&lt;=DATE(2014,10,6)),"Promo 1",IF(AND(A411&gt;=DATE(2014,9,10),A411&lt;=DATE(2014,9,23)),"Baseline 1",IF(AND(A411&gt;=DATE(2015,9,23),A411&lt;=DATE(2015,10,6)),"Promo 2",IF(AND(A411&gt;=DATE(2015,9,9),A411&lt;=DATE(2015,9,22)),"Baseline 2",IF(AND(A411&gt;=DATE(2016,6,23),A411&lt;=DATE(2016,7,6)),"Promo 3",IF(AND(A411&gt;=DATE(2016,6,9),A411&lt;=DATE(2016,6,22)),"Baseline 3","Other"))))))</f>
        <v>Other</v>
      </c>
    </row>
    <row r="412" customFormat="false" ht="15" hidden="false" customHeight="true" outlineLevel="0" collapsed="false">
      <c r="A412" s="12" t="n">
        <v>42048</v>
      </c>
      <c r="B412" s="13" t="n">
        <v>358597.428509159</v>
      </c>
      <c r="C412" s="13" t="n">
        <v>382447.080417085</v>
      </c>
      <c r="D412" s="14" t="n">
        <v>9505</v>
      </c>
      <c r="E412" s="15" t="n">
        <f aca="false">B412/D412</f>
        <v>37.7272412950194</v>
      </c>
      <c r="F412" s="15" t="n">
        <f aca="false">C412/D412</f>
        <v>40.2364103542436</v>
      </c>
      <c r="G412" s="13" t="n">
        <f aca="false">B412-C412</f>
        <v>-23849.651907926</v>
      </c>
      <c r="H412" s="16" t="n">
        <f aca="false">G412/B412</f>
        <v>-0.0665081509565728</v>
      </c>
      <c r="I412" s="15" t="n">
        <f aca="false">G412/D412</f>
        <v>-2.50916905922419</v>
      </c>
      <c r="J412" s="16" t="n">
        <f aca="false">I412/E412</f>
        <v>-0.0665081509565728</v>
      </c>
      <c r="K412" s="17" t="str">
        <f aca="false">TEXT(A412,"dddd")</f>
        <v>Friday</v>
      </c>
      <c r="L412" s="17" t="str">
        <f aca="false">IF(AND(A412&gt;=DATE(2014,9,24),A412&lt;=DATE(2014,10,6)),"Promo 1",IF(AND(A412&gt;=DATE(2014,9,10),A412&lt;=DATE(2014,9,23)),"Baseline 1",IF(AND(A412&gt;=DATE(2015,9,23),A412&lt;=DATE(2015,10,6)),"Promo 2",IF(AND(A412&gt;=DATE(2015,9,9),A412&lt;=DATE(2015,9,22)),"Baseline 2",IF(AND(A412&gt;=DATE(2016,6,23),A412&lt;=DATE(2016,7,6)),"Promo 3",IF(AND(A412&gt;=DATE(2016,6,9),A412&lt;=DATE(2016,6,22)),"Baseline 3","Other"))))))</f>
        <v>Other</v>
      </c>
    </row>
    <row r="413" customFormat="false" ht="15" hidden="false" customHeight="true" outlineLevel="0" collapsed="false">
      <c r="A413" s="12" t="n">
        <v>42049</v>
      </c>
      <c r="B413" s="13" t="n">
        <v>424009.882517061</v>
      </c>
      <c r="C413" s="13" t="n">
        <v>451548.027559624</v>
      </c>
      <c r="D413" s="14" t="n">
        <v>11237</v>
      </c>
      <c r="E413" s="15" t="n">
        <f aca="false">B413/D413</f>
        <v>37.7333703405768</v>
      </c>
      <c r="F413" s="15" t="n">
        <f aca="false">C413/D413</f>
        <v>40.1840373373342</v>
      </c>
      <c r="G413" s="13" t="n">
        <f aca="false">B413-C413</f>
        <v>-27538.145042563</v>
      </c>
      <c r="H413" s="16" t="n">
        <f aca="false">G413/B413</f>
        <v>-0.0649469415172296</v>
      </c>
      <c r="I413" s="15" t="n">
        <f aca="false">G413/D413</f>
        <v>-2.45066699675741</v>
      </c>
      <c r="J413" s="16" t="n">
        <f aca="false">I413/E413</f>
        <v>-0.0649469415172297</v>
      </c>
      <c r="K413" s="17" t="str">
        <f aca="false">TEXT(A413,"dddd")</f>
        <v>Saturday</v>
      </c>
      <c r="L413" s="17" t="str">
        <f aca="false">IF(AND(A413&gt;=DATE(2014,9,24),A413&lt;=DATE(2014,10,6)),"Promo 1",IF(AND(A413&gt;=DATE(2014,9,10),A413&lt;=DATE(2014,9,23)),"Baseline 1",IF(AND(A413&gt;=DATE(2015,9,23),A413&lt;=DATE(2015,10,6)),"Promo 2",IF(AND(A413&gt;=DATE(2015,9,9),A413&lt;=DATE(2015,9,22)),"Baseline 2",IF(AND(A413&gt;=DATE(2016,6,23),A413&lt;=DATE(2016,7,6)),"Promo 3",IF(AND(A413&gt;=DATE(2016,6,9),A413&lt;=DATE(2016,6,22)),"Baseline 3","Other"))))))</f>
        <v>Other</v>
      </c>
    </row>
    <row r="414" customFormat="false" ht="15" hidden="false" customHeight="true" outlineLevel="0" collapsed="false">
      <c r="A414" s="12" t="n">
        <v>42050</v>
      </c>
      <c r="B414" s="13" t="n">
        <v>203861.472378125</v>
      </c>
      <c r="C414" s="13" t="n">
        <v>217065.615160827</v>
      </c>
      <c r="D414" s="14" t="n">
        <v>5406</v>
      </c>
      <c r="E414" s="15" t="n">
        <f aca="false">B414/D414</f>
        <v>37.710224265284</v>
      </c>
      <c r="F414" s="15" t="n">
        <f aca="false">C414/D414</f>
        <v>40.1527220053324</v>
      </c>
      <c r="G414" s="13" t="n">
        <f aca="false">B414-C414</f>
        <v>-13204.142782702</v>
      </c>
      <c r="H414" s="16" t="n">
        <f aca="false">G414/B414</f>
        <v>-0.0647701727485357</v>
      </c>
      <c r="I414" s="15" t="n">
        <f aca="false">G414/D414</f>
        <v>-2.44249774004846</v>
      </c>
      <c r="J414" s="16" t="n">
        <f aca="false">I414/E414</f>
        <v>-0.0647701727485357</v>
      </c>
      <c r="K414" s="17" t="str">
        <f aca="false">TEXT(A414,"dddd")</f>
        <v>Sunday</v>
      </c>
      <c r="L414" s="17" t="str">
        <f aca="false">IF(AND(A414&gt;=DATE(2014,9,24),A414&lt;=DATE(2014,10,6)),"Promo 1",IF(AND(A414&gt;=DATE(2014,9,10),A414&lt;=DATE(2014,9,23)),"Baseline 1",IF(AND(A414&gt;=DATE(2015,9,23),A414&lt;=DATE(2015,10,6)),"Promo 2",IF(AND(A414&gt;=DATE(2015,9,9),A414&lt;=DATE(2015,9,22)),"Baseline 2",IF(AND(A414&gt;=DATE(2016,6,23),A414&lt;=DATE(2016,7,6)),"Promo 3",IF(AND(A414&gt;=DATE(2016,6,9),A414&lt;=DATE(2016,6,22)),"Baseline 3","Other"))))))</f>
        <v>Other</v>
      </c>
    </row>
    <row r="415" customFormat="false" ht="15" hidden="false" customHeight="true" outlineLevel="0" collapsed="false">
      <c r="A415" s="12" t="n">
        <v>42051</v>
      </c>
      <c r="B415" s="13" t="n">
        <v>220506.209332816</v>
      </c>
      <c r="C415" s="13" t="n">
        <v>234723.220045322</v>
      </c>
      <c r="D415" s="14" t="n">
        <v>5846</v>
      </c>
      <c r="E415" s="15" t="n">
        <f aca="false">B415/D415</f>
        <v>37.71915999535</v>
      </c>
      <c r="F415" s="15" t="n">
        <f aca="false">C415/D415</f>
        <v>40.1510810888337</v>
      </c>
      <c r="G415" s="13" t="n">
        <f aca="false">B415-C415</f>
        <v>-14217.010712506</v>
      </c>
      <c r="H415" s="16" t="n">
        <f aca="false">G415/B415</f>
        <v>-0.0644744234437764</v>
      </c>
      <c r="I415" s="15" t="n">
        <f aca="false">G415/D415</f>
        <v>-2.43192109348375</v>
      </c>
      <c r="J415" s="16" t="n">
        <f aca="false">I415/E415</f>
        <v>-0.0644744234437764</v>
      </c>
      <c r="K415" s="17" t="str">
        <f aca="false">TEXT(A415,"dddd")</f>
        <v>Monday</v>
      </c>
      <c r="L415" s="17" t="str">
        <f aca="false">IF(AND(A415&gt;=DATE(2014,9,24),A415&lt;=DATE(2014,10,6)),"Promo 1",IF(AND(A415&gt;=DATE(2014,9,10),A415&lt;=DATE(2014,9,23)),"Baseline 1",IF(AND(A415&gt;=DATE(2015,9,23),A415&lt;=DATE(2015,10,6)),"Promo 2",IF(AND(A415&gt;=DATE(2015,9,9),A415&lt;=DATE(2015,9,22)),"Baseline 2",IF(AND(A415&gt;=DATE(2016,6,23),A415&lt;=DATE(2016,7,6)),"Promo 3",IF(AND(A415&gt;=DATE(2016,6,9),A415&lt;=DATE(2016,6,22)),"Baseline 3","Other"))))))</f>
        <v>Other</v>
      </c>
    </row>
    <row r="416" customFormat="false" ht="15" hidden="false" customHeight="true" outlineLevel="0" collapsed="false">
      <c r="A416" s="12" t="n">
        <v>42052</v>
      </c>
      <c r="B416" s="13" t="n">
        <v>139935.936976345</v>
      </c>
      <c r="C416" s="13" t="n">
        <v>148697.54369599</v>
      </c>
      <c r="D416" s="14" t="n">
        <v>3713</v>
      </c>
      <c r="E416" s="15" t="n">
        <f aca="false">B416/D416</f>
        <v>37.6881058379599</v>
      </c>
      <c r="F416" s="15" t="n">
        <f aca="false">C416/D416</f>
        <v>40.047816777805</v>
      </c>
      <c r="G416" s="13" t="n">
        <f aca="false">B416-C416</f>
        <v>-8761.606719645</v>
      </c>
      <c r="H416" s="16" t="n">
        <f aca="false">G416/B416</f>
        <v>-0.0626115557515871</v>
      </c>
      <c r="I416" s="15" t="n">
        <f aca="false">G416/D416</f>
        <v>-2.35971093984514</v>
      </c>
      <c r="J416" s="16" t="n">
        <f aca="false">I416/E416</f>
        <v>-0.0626115557515871</v>
      </c>
      <c r="K416" s="17" t="str">
        <f aca="false">TEXT(A416,"dddd")</f>
        <v>Tuesday</v>
      </c>
      <c r="L416" s="17" t="str">
        <f aca="false">IF(AND(A416&gt;=DATE(2014,9,24),A416&lt;=DATE(2014,10,6)),"Promo 1",IF(AND(A416&gt;=DATE(2014,9,10),A416&lt;=DATE(2014,9,23)),"Baseline 1",IF(AND(A416&gt;=DATE(2015,9,23),A416&lt;=DATE(2015,10,6)),"Promo 2",IF(AND(A416&gt;=DATE(2015,9,9),A416&lt;=DATE(2015,9,22)),"Baseline 2",IF(AND(A416&gt;=DATE(2016,6,23),A416&lt;=DATE(2016,7,6)),"Promo 3",IF(AND(A416&gt;=DATE(2016,6,9),A416&lt;=DATE(2016,6,22)),"Baseline 3","Other"))))))</f>
        <v>Other</v>
      </c>
    </row>
    <row r="417" customFormat="false" ht="15" hidden="false" customHeight="true" outlineLevel="0" collapsed="false">
      <c r="A417" s="12" t="n">
        <v>42053</v>
      </c>
      <c r="B417" s="13" t="n">
        <v>161064.752344884</v>
      </c>
      <c r="C417" s="13" t="n">
        <v>170739.366623168</v>
      </c>
      <c r="D417" s="14" t="n">
        <v>4270</v>
      </c>
      <c r="E417" s="15" t="n">
        <f aca="false">B417/D417</f>
        <v>37.7200825163663</v>
      </c>
      <c r="F417" s="15" t="n">
        <f aca="false">C417/D417</f>
        <v>39.985800145941</v>
      </c>
      <c r="G417" s="13" t="n">
        <f aca="false">B417-C417</f>
        <v>-9674.61427828399</v>
      </c>
      <c r="H417" s="16" t="n">
        <f aca="false">G417/B417</f>
        <v>-0.0600666138148462</v>
      </c>
      <c r="I417" s="15" t="n">
        <f aca="false">G417/D417</f>
        <v>-2.26571762957471</v>
      </c>
      <c r="J417" s="16" t="n">
        <f aca="false">I417/E417</f>
        <v>-0.0600666138148462</v>
      </c>
      <c r="K417" s="17" t="str">
        <f aca="false">TEXT(A417,"dddd")</f>
        <v>Wednesday</v>
      </c>
      <c r="L417" s="17" t="str">
        <f aca="false">IF(AND(A417&gt;=DATE(2014,9,24),A417&lt;=DATE(2014,10,6)),"Promo 1",IF(AND(A417&gt;=DATE(2014,9,10),A417&lt;=DATE(2014,9,23)),"Baseline 1",IF(AND(A417&gt;=DATE(2015,9,23),A417&lt;=DATE(2015,10,6)),"Promo 2",IF(AND(A417&gt;=DATE(2015,9,9),A417&lt;=DATE(2015,9,22)),"Baseline 2",IF(AND(A417&gt;=DATE(2016,6,23),A417&lt;=DATE(2016,7,6)),"Promo 3",IF(AND(A417&gt;=DATE(2016,6,9),A417&lt;=DATE(2016,6,22)),"Baseline 3","Other"))))))</f>
        <v>Other</v>
      </c>
    </row>
    <row r="418" customFormat="false" ht="15" hidden="false" customHeight="true" outlineLevel="0" collapsed="false">
      <c r="A418" s="12" t="n">
        <v>42054</v>
      </c>
      <c r="B418" s="13" t="n">
        <v>144328.545189985</v>
      </c>
      <c r="C418" s="13" t="n">
        <v>152824.114898405</v>
      </c>
      <c r="D418" s="14" t="n">
        <v>3827</v>
      </c>
      <c r="E418" s="15" t="n">
        <f aca="false">B418/D418</f>
        <v>37.713233652988</v>
      </c>
      <c r="F418" s="15" t="n">
        <f aca="false">C418/D418</f>
        <v>39.933136895324</v>
      </c>
      <c r="G418" s="13" t="n">
        <f aca="false">B418-C418</f>
        <v>-8495.56970842002</v>
      </c>
      <c r="H418" s="16" t="n">
        <f aca="false">G418/B418</f>
        <v>-0.0588627128281311</v>
      </c>
      <c r="I418" s="15" t="n">
        <f aca="false">G418/D418</f>
        <v>-2.21990324233604</v>
      </c>
      <c r="J418" s="16" t="n">
        <f aca="false">I418/E418</f>
        <v>-0.0588627128281311</v>
      </c>
      <c r="K418" s="17" t="str">
        <f aca="false">TEXT(A418,"dddd")</f>
        <v>Thursday</v>
      </c>
      <c r="L418" s="17" t="str">
        <f aca="false">IF(AND(A418&gt;=DATE(2014,9,24),A418&lt;=DATE(2014,10,6)),"Promo 1",IF(AND(A418&gt;=DATE(2014,9,10),A418&lt;=DATE(2014,9,23)),"Baseline 1",IF(AND(A418&gt;=DATE(2015,9,23),A418&lt;=DATE(2015,10,6)),"Promo 2",IF(AND(A418&gt;=DATE(2015,9,9),A418&lt;=DATE(2015,9,22)),"Baseline 2",IF(AND(A418&gt;=DATE(2016,6,23),A418&lt;=DATE(2016,7,6)),"Promo 3",IF(AND(A418&gt;=DATE(2016,6,9),A418&lt;=DATE(2016,6,22)),"Baseline 3","Other"))))))</f>
        <v>Other</v>
      </c>
    </row>
    <row r="419" customFormat="false" ht="15" hidden="false" customHeight="true" outlineLevel="0" collapsed="false">
      <c r="A419" s="12" t="n">
        <v>42055</v>
      </c>
      <c r="B419" s="13" t="n">
        <v>293071.759196403</v>
      </c>
      <c r="C419" s="13" t="n">
        <v>310240.378395341</v>
      </c>
      <c r="D419" s="14" t="n">
        <v>7770</v>
      </c>
      <c r="E419" s="15" t="n">
        <f aca="false">B419/D419</f>
        <v>37.7183731269502</v>
      </c>
      <c r="F419" s="15" t="n">
        <f aca="false">C419/D419</f>
        <v>39.927976627457</v>
      </c>
      <c r="G419" s="13" t="n">
        <f aca="false">B419-C419</f>
        <v>-17168.619198938</v>
      </c>
      <c r="H419" s="16" t="n">
        <f aca="false">G419/B419</f>
        <v>-0.0585816226238037</v>
      </c>
      <c r="I419" s="15" t="n">
        <f aca="false">G419/D419</f>
        <v>-2.20960350050682</v>
      </c>
      <c r="J419" s="16" t="n">
        <f aca="false">I419/E419</f>
        <v>-0.0585816226238037</v>
      </c>
      <c r="K419" s="17" t="str">
        <f aca="false">TEXT(A419,"dddd")</f>
        <v>Friday</v>
      </c>
      <c r="L419" s="17" t="str">
        <f aca="false">IF(AND(A419&gt;=DATE(2014,9,24),A419&lt;=DATE(2014,10,6)),"Promo 1",IF(AND(A419&gt;=DATE(2014,9,10),A419&lt;=DATE(2014,9,23)),"Baseline 1",IF(AND(A419&gt;=DATE(2015,9,23),A419&lt;=DATE(2015,10,6)),"Promo 2",IF(AND(A419&gt;=DATE(2015,9,9),A419&lt;=DATE(2015,9,22)),"Baseline 2",IF(AND(A419&gt;=DATE(2016,6,23),A419&lt;=DATE(2016,7,6)),"Promo 3",IF(AND(A419&gt;=DATE(2016,6,9),A419&lt;=DATE(2016,6,22)),"Baseline 3","Other"))))))</f>
        <v>Other</v>
      </c>
    </row>
    <row r="420" customFormat="false" ht="15" hidden="false" customHeight="true" outlineLevel="0" collapsed="false">
      <c r="A420" s="12" t="n">
        <v>42056</v>
      </c>
      <c r="B420" s="13" t="n">
        <v>267782.153961908</v>
      </c>
      <c r="C420" s="13" t="n">
        <v>283430.336833763</v>
      </c>
      <c r="D420" s="14" t="n">
        <v>7102</v>
      </c>
      <c r="E420" s="15" t="n">
        <f aca="false">B420/D420</f>
        <v>37.7051751565627</v>
      </c>
      <c r="F420" s="15" t="n">
        <f aca="false">C420/D420</f>
        <v>39.9085239135121</v>
      </c>
      <c r="G420" s="13" t="n">
        <f aca="false">B420-C420</f>
        <v>-15648.182871855</v>
      </c>
      <c r="H420" s="16" t="n">
        <f aca="false">G420/B420</f>
        <v>-0.0584362424468396</v>
      </c>
      <c r="I420" s="15" t="n">
        <f aca="false">G420/D420</f>
        <v>-2.20334875694945</v>
      </c>
      <c r="J420" s="16" t="n">
        <f aca="false">I420/E420</f>
        <v>-0.0584362424468396</v>
      </c>
      <c r="K420" s="17" t="str">
        <f aca="false">TEXT(A420,"dddd")</f>
        <v>Saturday</v>
      </c>
      <c r="L420" s="17" t="str">
        <f aca="false">IF(AND(A420&gt;=DATE(2014,9,24),A420&lt;=DATE(2014,10,6)),"Promo 1",IF(AND(A420&gt;=DATE(2014,9,10),A420&lt;=DATE(2014,9,23)),"Baseline 1",IF(AND(A420&gt;=DATE(2015,9,23),A420&lt;=DATE(2015,10,6)),"Promo 2",IF(AND(A420&gt;=DATE(2015,9,9),A420&lt;=DATE(2015,9,22)),"Baseline 2",IF(AND(A420&gt;=DATE(2016,6,23),A420&lt;=DATE(2016,7,6)),"Promo 3",IF(AND(A420&gt;=DATE(2016,6,9),A420&lt;=DATE(2016,6,22)),"Baseline 3","Other"))))))</f>
        <v>Other</v>
      </c>
    </row>
    <row r="421" customFormat="false" ht="15" hidden="false" customHeight="true" outlineLevel="0" collapsed="false">
      <c r="A421" s="12" t="n">
        <v>42057</v>
      </c>
      <c r="B421" s="13" t="n">
        <v>136052.688423625</v>
      </c>
      <c r="C421" s="13" t="n">
        <v>144020.12275974</v>
      </c>
      <c r="D421" s="14" t="n">
        <v>3608</v>
      </c>
      <c r="E421" s="15" t="n">
        <f aca="false">B421/D421</f>
        <v>37.708616525395</v>
      </c>
      <c r="F421" s="15" t="n">
        <f aca="false">C421/D421</f>
        <v>39.9168854655599</v>
      </c>
      <c r="G421" s="13" t="n">
        <f aca="false">B421-C421</f>
        <v>-7967.43433611502</v>
      </c>
      <c r="H421" s="16" t="n">
        <f aca="false">G421/B421</f>
        <v>-0.0585613884475914</v>
      </c>
      <c r="I421" s="15" t="n">
        <f aca="false">G421/D421</f>
        <v>-2.20826894016492</v>
      </c>
      <c r="J421" s="16" t="n">
        <f aca="false">I421/E421</f>
        <v>-0.0585613884475914</v>
      </c>
      <c r="K421" s="17" t="str">
        <f aca="false">TEXT(A421,"dddd")</f>
        <v>Sunday</v>
      </c>
      <c r="L421" s="17" t="str">
        <f aca="false">IF(AND(A421&gt;=DATE(2014,9,24),A421&lt;=DATE(2014,10,6)),"Promo 1",IF(AND(A421&gt;=DATE(2014,9,10),A421&lt;=DATE(2014,9,23)),"Baseline 1",IF(AND(A421&gt;=DATE(2015,9,23),A421&lt;=DATE(2015,10,6)),"Promo 2",IF(AND(A421&gt;=DATE(2015,9,9),A421&lt;=DATE(2015,9,22)),"Baseline 2",IF(AND(A421&gt;=DATE(2016,6,23),A421&lt;=DATE(2016,7,6)),"Promo 3",IF(AND(A421&gt;=DATE(2016,6,9),A421&lt;=DATE(2016,6,22)),"Baseline 3","Other"))))))</f>
        <v>Other</v>
      </c>
    </row>
    <row r="422" customFormat="false" ht="15" hidden="false" customHeight="true" outlineLevel="0" collapsed="false">
      <c r="A422" s="12" t="n">
        <v>42058</v>
      </c>
      <c r="B422" s="13" t="n">
        <v>86703.3140903792</v>
      </c>
      <c r="C422" s="13" t="n">
        <v>85730.9665392827</v>
      </c>
      <c r="D422" s="14" t="n">
        <v>2150</v>
      </c>
      <c r="E422" s="15" t="n">
        <f aca="false">B422/D422</f>
        <v>40.3271228327345</v>
      </c>
      <c r="F422" s="15" t="n">
        <f aca="false">C422/D422</f>
        <v>39.8748681578059</v>
      </c>
      <c r="G422" s="13" t="n">
        <f aca="false">B422-C422</f>
        <v>972.347551096493</v>
      </c>
      <c r="H422" s="16" t="n">
        <f aca="false">G422/B422</f>
        <v>0.0112146526496429</v>
      </c>
      <c r="I422" s="15" t="n">
        <f aca="false">G422/D422</f>
        <v>0.452254674928601</v>
      </c>
      <c r="J422" s="16" t="n">
        <f aca="false">I422/E422</f>
        <v>0.0112146526496429</v>
      </c>
      <c r="K422" s="17" t="str">
        <f aca="false">TEXT(A422,"dddd")</f>
        <v>Monday</v>
      </c>
      <c r="L422" s="17" t="str">
        <f aca="false">IF(AND(A422&gt;=DATE(2014,9,24),A422&lt;=DATE(2014,10,6)),"Promo 1",IF(AND(A422&gt;=DATE(2014,9,10),A422&lt;=DATE(2014,9,23)),"Baseline 1",IF(AND(A422&gt;=DATE(2015,9,23),A422&lt;=DATE(2015,10,6)),"Promo 2",IF(AND(A422&gt;=DATE(2015,9,9),A422&lt;=DATE(2015,9,22)),"Baseline 2",IF(AND(A422&gt;=DATE(2016,6,23),A422&lt;=DATE(2016,7,6)),"Promo 3",IF(AND(A422&gt;=DATE(2016,6,9),A422&lt;=DATE(2016,6,22)),"Baseline 3","Other"))))))</f>
        <v>Other</v>
      </c>
    </row>
    <row r="423" customFormat="false" ht="15" hidden="false" customHeight="true" outlineLevel="0" collapsed="false">
      <c r="A423" s="12" t="n">
        <v>42059</v>
      </c>
      <c r="B423" s="13" t="n">
        <v>95474.3573690996</v>
      </c>
      <c r="C423" s="13" t="n">
        <v>100867.524060756</v>
      </c>
      <c r="D423" s="14" t="n">
        <v>2530</v>
      </c>
      <c r="E423" s="15" t="n">
        <f aca="false">B423/D423</f>
        <v>37.7369001458892</v>
      </c>
      <c r="F423" s="15" t="n">
        <f aca="false">C423/D423</f>
        <v>39.8685865852791</v>
      </c>
      <c r="G423" s="13" t="n">
        <f aca="false">B423-C423</f>
        <v>-5393.1666916564</v>
      </c>
      <c r="H423" s="16" t="n">
        <f aca="false">G423/B423</f>
        <v>-0.0564881172313803</v>
      </c>
      <c r="I423" s="15" t="n">
        <f aca="false">G423/D423</f>
        <v>-2.13168643938988</v>
      </c>
      <c r="J423" s="16" t="n">
        <f aca="false">I423/E423</f>
        <v>-0.0564881172313803</v>
      </c>
      <c r="K423" s="17" t="str">
        <f aca="false">TEXT(A423,"dddd")</f>
        <v>Tuesday</v>
      </c>
      <c r="L423" s="17" t="str">
        <f aca="false">IF(AND(A423&gt;=DATE(2014,9,24),A423&lt;=DATE(2014,10,6)),"Promo 1",IF(AND(A423&gt;=DATE(2014,9,10),A423&lt;=DATE(2014,9,23)),"Baseline 1",IF(AND(A423&gt;=DATE(2015,9,23),A423&lt;=DATE(2015,10,6)),"Promo 2",IF(AND(A423&gt;=DATE(2015,9,9),A423&lt;=DATE(2015,9,22)),"Baseline 2",IF(AND(A423&gt;=DATE(2016,6,23),A423&lt;=DATE(2016,7,6)),"Promo 3",IF(AND(A423&gt;=DATE(2016,6,9),A423&lt;=DATE(2016,6,22)),"Baseline 3","Other"))))))</f>
        <v>Other</v>
      </c>
    </row>
    <row r="424" customFormat="false" ht="15" hidden="false" customHeight="true" outlineLevel="0" collapsed="false">
      <c r="A424" s="12" t="n">
        <v>42060</v>
      </c>
      <c r="B424" s="13" t="n">
        <v>198431.627526982</v>
      </c>
      <c r="C424" s="13" t="n">
        <v>209499.794109121</v>
      </c>
      <c r="D424" s="14" t="n">
        <v>5253</v>
      </c>
      <c r="E424" s="15" t="n">
        <f aca="false">B424/D424</f>
        <v>37.7749148157209</v>
      </c>
      <c r="F424" s="15" t="n">
        <f aca="false">C424/D424</f>
        <v>39.8819330114451</v>
      </c>
      <c r="G424" s="13" t="n">
        <f aca="false">B424-C424</f>
        <v>-11068.166582139</v>
      </c>
      <c r="H424" s="16" t="n">
        <f aca="false">G424/B424</f>
        <v>-0.0557782381774498</v>
      </c>
      <c r="I424" s="15" t="n">
        <f aca="false">G424/D424</f>
        <v>-2.10701819572416</v>
      </c>
      <c r="J424" s="16" t="n">
        <f aca="false">I424/E424</f>
        <v>-0.0557782381774498</v>
      </c>
      <c r="K424" s="17" t="str">
        <f aca="false">TEXT(A424,"dddd")</f>
        <v>Wednesday</v>
      </c>
      <c r="L424" s="17" t="str">
        <f aca="false">IF(AND(A424&gt;=DATE(2014,9,24),A424&lt;=DATE(2014,10,6)),"Promo 1",IF(AND(A424&gt;=DATE(2014,9,10),A424&lt;=DATE(2014,9,23)),"Baseline 1",IF(AND(A424&gt;=DATE(2015,9,23),A424&lt;=DATE(2015,10,6)),"Promo 2",IF(AND(A424&gt;=DATE(2015,9,9),A424&lt;=DATE(2015,9,22)),"Baseline 2",IF(AND(A424&gt;=DATE(2016,6,23),A424&lt;=DATE(2016,7,6)),"Promo 3",IF(AND(A424&gt;=DATE(2016,6,9),A424&lt;=DATE(2016,6,22)),"Baseline 3","Other"))))))</f>
        <v>Other</v>
      </c>
    </row>
    <row r="425" customFormat="false" ht="15" hidden="false" customHeight="true" outlineLevel="0" collapsed="false">
      <c r="A425" s="12" t="n">
        <v>42061</v>
      </c>
      <c r="B425" s="13" t="n">
        <v>157291.733998945</v>
      </c>
      <c r="C425" s="13" t="n">
        <v>166305.03762747</v>
      </c>
      <c r="D425" s="14" t="n">
        <v>4171</v>
      </c>
      <c r="E425" s="15" t="n">
        <f aca="false">B425/D425</f>
        <v>37.7107969309386</v>
      </c>
      <c r="F425" s="15" t="n">
        <f aca="false">C425/D425</f>
        <v>39.8717424184776</v>
      </c>
      <c r="G425" s="13" t="n">
        <f aca="false">B425-C425</f>
        <v>-9013.303628525</v>
      </c>
      <c r="H425" s="16" t="n">
        <f aca="false">G425/B425</f>
        <v>-0.0573030978766211</v>
      </c>
      <c r="I425" s="15" t="n">
        <f aca="false">G425/D425</f>
        <v>-2.16094548753896</v>
      </c>
      <c r="J425" s="16" t="n">
        <f aca="false">I425/E425</f>
        <v>-0.0573030978766211</v>
      </c>
      <c r="K425" s="17" t="str">
        <f aca="false">TEXT(A425,"dddd")</f>
        <v>Thursday</v>
      </c>
      <c r="L425" s="17" t="str">
        <f aca="false">IF(AND(A425&gt;=DATE(2014,9,24),A425&lt;=DATE(2014,10,6)),"Promo 1",IF(AND(A425&gt;=DATE(2014,9,10),A425&lt;=DATE(2014,9,23)),"Baseline 1",IF(AND(A425&gt;=DATE(2015,9,23),A425&lt;=DATE(2015,10,6)),"Promo 2",IF(AND(A425&gt;=DATE(2015,9,9),A425&lt;=DATE(2015,9,22)),"Baseline 2",IF(AND(A425&gt;=DATE(2016,6,23),A425&lt;=DATE(2016,7,6)),"Promo 3",IF(AND(A425&gt;=DATE(2016,6,9),A425&lt;=DATE(2016,6,22)),"Baseline 3","Other"))))))</f>
        <v>Other</v>
      </c>
    </row>
    <row r="426" customFormat="false" ht="15" hidden="false" customHeight="true" outlineLevel="0" collapsed="false">
      <c r="A426" s="12" t="n">
        <v>42062</v>
      </c>
      <c r="B426" s="13" t="n">
        <v>307540.675156237</v>
      </c>
      <c r="C426" s="13" t="n">
        <v>324997.336478028</v>
      </c>
      <c r="D426" s="14" t="n">
        <v>8156</v>
      </c>
      <c r="E426" s="15" t="n">
        <f aca="false">B426/D426</f>
        <v>37.7072921966941</v>
      </c>
      <c r="F426" s="15" t="n">
        <f aca="false">C426/D426</f>
        <v>39.8476381164821</v>
      </c>
      <c r="G426" s="13" t="n">
        <f aca="false">B426-C426</f>
        <v>-17456.661321791</v>
      </c>
      <c r="H426" s="16" t="n">
        <f aca="false">G426/B426</f>
        <v>-0.0567621219954813</v>
      </c>
      <c r="I426" s="15" t="n">
        <f aca="false">G426/D426</f>
        <v>-2.14034591978801</v>
      </c>
      <c r="J426" s="16" t="n">
        <f aca="false">I426/E426</f>
        <v>-0.0567621219954813</v>
      </c>
      <c r="K426" s="17" t="str">
        <f aca="false">TEXT(A426,"dddd")</f>
        <v>Friday</v>
      </c>
      <c r="L426" s="17" t="str">
        <f aca="false">IF(AND(A426&gt;=DATE(2014,9,24),A426&lt;=DATE(2014,10,6)),"Promo 1",IF(AND(A426&gt;=DATE(2014,9,10),A426&lt;=DATE(2014,9,23)),"Baseline 1",IF(AND(A426&gt;=DATE(2015,9,23),A426&lt;=DATE(2015,10,6)),"Promo 2",IF(AND(A426&gt;=DATE(2015,9,9),A426&lt;=DATE(2015,9,22)),"Baseline 2",IF(AND(A426&gt;=DATE(2016,6,23),A426&lt;=DATE(2016,7,6)),"Promo 3",IF(AND(A426&gt;=DATE(2016,6,9),A426&lt;=DATE(2016,6,22)),"Baseline 3","Other"))))))</f>
        <v>Other</v>
      </c>
    </row>
    <row r="427" customFormat="false" ht="15" hidden="false" customHeight="true" outlineLevel="0" collapsed="false">
      <c r="A427" s="12" t="n">
        <v>42063</v>
      </c>
      <c r="B427" s="13" t="n">
        <v>350898.76351027</v>
      </c>
      <c r="C427" s="13" t="n">
        <v>375030.635452059</v>
      </c>
      <c r="D427" s="14" t="n">
        <v>9296</v>
      </c>
      <c r="E427" s="15" t="n">
        <f aca="false">B427/D427</f>
        <v>37.7472852313113</v>
      </c>
      <c r="F427" s="15" t="n">
        <f aca="false">C427/D427</f>
        <v>40.3432267052559</v>
      </c>
      <c r="G427" s="13" t="n">
        <f aca="false">B427-C427</f>
        <v>-24131.871941789</v>
      </c>
      <c r="H427" s="16" t="n">
        <f aca="false">G427/B427</f>
        <v>-0.0687716072304789</v>
      </c>
      <c r="I427" s="15" t="n">
        <f aca="false">G427/D427</f>
        <v>-2.5959414739446</v>
      </c>
      <c r="J427" s="16" t="n">
        <f aca="false">I427/E427</f>
        <v>-0.0687716072304789</v>
      </c>
      <c r="K427" s="17" t="str">
        <f aca="false">TEXT(A427,"dddd")</f>
        <v>Saturday</v>
      </c>
      <c r="L427" s="17" t="str">
        <f aca="false">IF(AND(A427&gt;=DATE(2014,9,24),A427&lt;=DATE(2014,10,6)),"Promo 1",IF(AND(A427&gt;=DATE(2014,9,10),A427&lt;=DATE(2014,9,23)),"Baseline 1",IF(AND(A427&gt;=DATE(2015,9,23),A427&lt;=DATE(2015,10,6)),"Promo 2",IF(AND(A427&gt;=DATE(2015,9,9),A427&lt;=DATE(2015,9,22)),"Baseline 2",IF(AND(A427&gt;=DATE(2016,6,23),A427&lt;=DATE(2016,7,6)),"Promo 3",IF(AND(A427&gt;=DATE(2016,6,9),A427&lt;=DATE(2016,6,22)),"Baseline 3","Other"))))))</f>
        <v>Other</v>
      </c>
    </row>
    <row r="428" customFormat="false" ht="15" hidden="false" customHeight="true" outlineLevel="0" collapsed="false">
      <c r="A428" s="12" t="n">
        <v>42064</v>
      </c>
      <c r="B428" s="13" t="n">
        <v>256701.542733341</v>
      </c>
      <c r="C428" s="13" t="n">
        <v>276569.25039236</v>
      </c>
      <c r="D428" s="14" t="n">
        <v>6803</v>
      </c>
      <c r="E428" s="15" t="n">
        <f aca="false">B428/D428</f>
        <v>37.7335797050332</v>
      </c>
      <c r="F428" s="15" t="n">
        <f aca="false">C428/D428</f>
        <v>40.6540129931442</v>
      </c>
      <c r="G428" s="13" t="n">
        <f aca="false">B428-C428</f>
        <v>-19867.707659019</v>
      </c>
      <c r="H428" s="16" t="n">
        <f aca="false">G428/B428</f>
        <v>-0.077396136569609</v>
      </c>
      <c r="I428" s="15" t="n">
        <f aca="false">G428/D428</f>
        <v>-2.92043328811098</v>
      </c>
      <c r="J428" s="16" t="n">
        <f aca="false">I428/E428</f>
        <v>-0.077396136569609</v>
      </c>
      <c r="K428" s="17" t="str">
        <f aca="false">TEXT(A428,"dddd")</f>
        <v>Sunday</v>
      </c>
      <c r="L428" s="17" t="str">
        <f aca="false">IF(AND(A428&gt;=DATE(2014,9,24),A428&lt;=DATE(2014,10,6)),"Promo 1",IF(AND(A428&gt;=DATE(2014,9,10),A428&lt;=DATE(2014,9,23)),"Baseline 1",IF(AND(A428&gt;=DATE(2015,9,23),A428&lt;=DATE(2015,10,6)),"Promo 2",IF(AND(A428&gt;=DATE(2015,9,9),A428&lt;=DATE(2015,9,22)),"Baseline 2",IF(AND(A428&gt;=DATE(2016,6,23),A428&lt;=DATE(2016,7,6)),"Promo 3",IF(AND(A428&gt;=DATE(2016,6,9),A428&lt;=DATE(2016,6,22)),"Baseline 3","Other"))))))</f>
        <v>Other</v>
      </c>
    </row>
    <row r="429" customFormat="false" ht="15" hidden="false" customHeight="true" outlineLevel="0" collapsed="false">
      <c r="A429" s="12" t="n">
        <v>42065</v>
      </c>
      <c r="B429" s="13" t="n">
        <v>234705.592779103</v>
      </c>
      <c r="C429" s="13" t="n">
        <v>252709.82306976</v>
      </c>
      <c r="D429" s="14" t="n">
        <v>6221</v>
      </c>
      <c r="E429" s="15" t="n">
        <f aca="false">B429/D429</f>
        <v>37.7279525444628</v>
      </c>
      <c r="F429" s="15" t="n">
        <f aca="false">C429/D429</f>
        <v>40.6220580404694</v>
      </c>
      <c r="G429" s="13" t="n">
        <f aca="false">B429-C429</f>
        <v>-18004.230290657</v>
      </c>
      <c r="H429" s="16" t="n">
        <f aca="false">G429/B429</f>
        <v>-0.0767098477606453</v>
      </c>
      <c r="I429" s="15" t="n">
        <f aca="false">G429/D429</f>
        <v>-2.89410549600659</v>
      </c>
      <c r="J429" s="16" t="n">
        <f aca="false">I429/E429</f>
        <v>-0.0767098477606453</v>
      </c>
      <c r="K429" s="17" t="str">
        <f aca="false">TEXT(A429,"dddd")</f>
        <v>Monday</v>
      </c>
      <c r="L429" s="17" t="str">
        <f aca="false">IF(AND(A429&gt;=DATE(2014,9,24),A429&lt;=DATE(2014,10,6)),"Promo 1",IF(AND(A429&gt;=DATE(2014,9,10),A429&lt;=DATE(2014,9,23)),"Baseline 1",IF(AND(A429&gt;=DATE(2015,9,23),A429&lt;=DATE(2015,10,6)),"Promo 2",IF(AND(A429&gt;=DATE(2015,9,9),A429&lt;=DATE(2015,9,22)),"Baseline 2",IF(AND(A429&gt;=DATE(2016,6,23),A429&lt;=DATE(2016,7,6)),"Promo 3",IF(AND(A429&gt;=DATE(2016,6,9),A429&lt;=DATE(2016,6,22)),"Baseline 3","Other"))))))</f>
        <v>Other</v>
      </c>
    </row>
    <row r="430" customFormat="false" ht="15" hidden="false" customHeight="true" outlineLevel="0" collapsed="false">
      <c r="A430" s="12" t="n">
        <v>42066</v>
      </c>
      <c r="B430" s="13" t="n">
        <v>249380.565447579</v>
      </c>
      <c r="C430" s="13" t="n">
        <v>268761.832356944</v>
      </c>
      <c r="D430" s="14" t="n">
        <v>6611</v>
      </c>
      <c r="E430" s="15" t="n">
        <f aca="false">B430/D430</f>
        <v>37.7220640519708</v>
      </c>
      <c r="F430" s="15" t="n">
        <f aca="false">C430/D430</f>
        <v>40.6537335285046</v>
      </c>
      <c r="G430" s="13" t="n">
        <f aca="false">B430-C430</f>
        <v>-19381.266909365</v>
      </c>
      <c r="H430" s="16" t="n">
        <f aca="false">G430/B430</f>
        <v>-0.0777176315827988</v>
      </c>
      <c r="I430" s="15" t="n">
        <f aca="false">G430/D430</f>
        <v>-2.93166947653381</v>
      </c>
      <c r="J430" s="16" t="n">
        <f aca="false">I430/E430</f>
        <v>-0.0777176315827988</v>
      </c>
      <c r="K430" s="17" t="str">
        <f aca="false">TEXT(A430,"dddd")</f>
        <v>Tuesday</v>
      </c>
      <c r="L430" s="17" t="str">
        <f aca="false">IF(AND(A430&gt;=DATE(2014,9,24),A430&lt;=DATE(2014,10,6)),"Promo 1",IF(AND(A430&gt;=DATE(2014,9,10),A430&lt;=DATE(2014,9,23)),"Baseline 1",IF(AND(A430&gt;=DATE(2015,9,23),A430&lt;=DATE(2015,10,6)),"Promo 2",IF(AND(A430&gt;=DATE(2015,9,9),A430&lt;=DATE(2015,9,22)),"Baseline 2",IF(AND(A430&gt;=DATE(2016,6,23),A430&lt;=DATE(2016,7,6)),"Promo 3",IF(AND(A430&gt;=DATE(2016,6,9),A430&lt;=DATE(2016,6,22)),"Baseline 3","Other"))))))</f>
        <v>Other</v>
      </c>
    </row>
    <row r="431" customFormat="false" ht="15" hidden="false" customHeight="true" outlineLevel="0" collapsed="false">
      <c r="A431" s="12" t="n">
        <v>42067</v>
      </c>
      <c r="B431" s="13" t="n">
        <v>258211.444167698</v>
      </c>
      <c r="C431" s="13" t="n">
        <v>278825.606678537</v>
      </c>
      <c r="D431" s="14" t="n">
        <v>6843</v>
      </c>
      <c r="E431" s="15" t="n">
        <f aca="false">B431/D431</f>
        <v>37.7336612841879</v>
      </c>
      <c r="F431" s="15" t="n">
        <f aca="false">C431/D431</f>
        <v>40.7461064852458</v>
      </c>
      <c r="G431" s="13" t="n">
        <f aca="false">B431-C431</f>
        <v>-20614.162510839</v>
      </c>
      <c r="H431" s="16" t="n">
        <f aca="false">G431/B431</f>
        <v>-0.0798344263062597</v>
      </c>
      <c r="I431" s="15" t="n">
        <f aca="false">G431/D431</f>
        <v>-3.01244520105787</v>
      </c>
      <c r="J431" s="16" t="n">
        <f aca="false">I431/E431</f>
        <v>-0.0798344263062597</v>
      </c>
      <c r="K431" s="17" t="str">
        <f aca="false">TEXT(A431,"dddd")</f>
        <v>Wednesday</v>
      </c>
      <c r="L431" s="17" t="str">
        <f aca="false">IF(AND(A431&gt;=DATE(2014,9,24),A431&lt;=DATE(2014,10,6)),"Promo 1",IF(AND(A431&gt;=DATE(2014,9,10),A431&lt;=DATE(2014,9,23)),"Baseline 1",IF(AND(A431&gt;=DATE(2015,9,23),A431&lt;=DATE(2015,10,6)),"Promo 2",IF(AND(A431&gt;=DATE(2015,9,9),A431&lt;=DATE(2015,9,22)),"Baseline 2",IF(AND(A431&gt;=DATE(2016,6,23),A431&lt;=DATE(2016,7,6)),"Promo 3",IF(AND(A431&gt;=DATE(2016,6,9),A431&lt;=DATE(2016,6,22)),"Baseline 3","Other"))))))</f>
        <v>Other</v>
      </c>
    </row>
    <row r="432" customFormat="false" ht="15" hidden="false" customHeight="true" outlineLevel="0" collapsed="false">
      <c r="A432" s="12" t="n">
        <v>42068</v>
      </c>
      <c r="B432" s="13" t="n">
        <v>145975.833942825</v>
      </c>
      <c r="C432" s="13" t="n">
        <v>157578.005866528</v>
      </c>
      <c r="D432" s="14" t="n">
        <v>3858</v>
      </c>
      <c r="E432" s="15" t="n">
        <f aca="false">B432/D432</f>
        <v>37.8371783159215</v>
      </c>
      <c r="F432" s="15" t="n">
        <f aca="false">C432/D432</f>
        <v>40.8444805252794</v>
      </c>
      <c r="G432" s="13" t="n">
        <f aca="false">B432-C432</f>
        <v>-11602.171923703</v>
      </c>
      <c r="H432" s="16" t="n">
        <f aca="false">G432/B432</f>
        <v>-0.0794800866028775</v>
      </c>
      <c r="I432" s="15" t="n">
        <f aca="false">G432/D432</f>
        <v>-3.00730220935796</v>
      </c>
      <c r="J432" s="16" t="n">
        <f aca="false">I432/E432</f>
        <v>-0.0794800866028775</v>
      </c>
      <c r="K432" s="17" t="str">
        <f aca="false">TEXT(A432,"dddd")</f>
        <v>Thursday</v>
      </c>
      <c r="L432" s="17" t="str">
        <f aca="false">IF(AND(A432&gt;=DATE(2014,9,24),A432&lt;=DATE(2014,10,6)),"Promo 1",IF(AND(A432&gt;=DATE(2014,9,10),A432&lt;=DATE(2014,9,23)),"Baseline 1",IF(AND(A432&gt;=DATE(2015,9,23),A432&lt;=DATE(2015,10,6)),"Promo 2",IF(AND(A432&gt;=DATE(2015,9,9),A432&lt;=DATE(2015,9,22)),"Baseline 2",IF(AND(A432&gt;=DATE(2016,6,23),A432&lt;=DATE(2016,7,6)),"Promo 3",IF(AND(A432&gt;=DATE(2016,6,9),A432&lt;=DATE(2016,6,22)),"Baseline 3","Other"))))))</f>
        <v>Other</v>
      </c>
    </row>
    <row r="433" customFormat="false" ht="15" hidden="false" customHeight="true" outlineLevel="0" collapsed="false">
      <c r="A433" s="12" t="n">
        <v>42069</v>
      </c>
      <c r="B433" s="13" t="n">
        <v>269239.852583668</v>
      </c>
      <c r="C433" s="13" t="n">
        <v>291365.017554399</v>
      </c>
      <c r="D433" s="14" t="n">
        <v>7128</v>
      </c>
      <c r="E433" s="15" t="n">
        <f aca="false">B433/D433</f>
        <v>37.7721454241959</v>
      </c>
      <c r="F433" s="15" t="n">
        <f aca="false">C433/D433</f>
        <v>40.876124797194</v>
      </c>
      <c r="G433" s="13" t="n">
        <f aca="false">B433-C433</f>
        <v>-22125.164970731</v>
      </c>
      <c r="H433" s="16" t="n">
        <f aca="false">G433/B433</f>
        <v>-0.0821764116954247</v>
      </c>
      <c r="I433" s="15" t="n">
        <f aca="false">G433/D433</f>
        <v>-3.10397937299817</v>
      </c>
      <c r="J433" s="16" t="n">
        <f aca="false">I433/E433</f>
        <v>-0.0821764116954247</v>
      </c>
      <c r="K433" s="17" t="str">
        <f aca="false">TEXT(A433,"dddd")</f>
        <v>Friday</v>
      </c>
      <c r="L433" s="17" t="str">
        <f aca="false">IF(AND(A433&gt;=DATE(2014,9,24),A433&lt;=DATE(2014,10,6)),"Promo 1",IF(AND(A433&gt;=DATE(2014,9,10),A433&lt;=DATE(2014,9,23)),"Baseline 1",IF(AND(A433&gt;=DATE(2015,9,23),A433&lt;=DATE(2015,10,6)),"Promo 2",IF(AND(A433&gt;=DATE(2015,9,9),A433&lt;=DATE(2015,9,22)),"Baseline 2",IF(AND(A433&gt;=DATE(2016,6,23),A433&lt;=DATE(2016,7,6)),"Promo 3",IF(AND(A433&gt;=DATE(2016,6,9),A433&lt;=DATE(2016,6,22)),"Baseline 3","Other"))))))</f>
        <v>Other</v>
      </c>
    </row>
    <row r="434" customFormat="false" ht="15" hidden="false" customHeight="true" outlineLevel="0" collapsed="false">
      <c r="A434" s="12" t="n">
        <v>42070</v>
      </c>
      <c r="B434" s="13" t="n">
        <v>306920.211601292</v>
      </c>
      <c r="C434" s="13" t="n">
        <v>332242.411551486</v>
      </c>
      <c r="D434" s="14" t="n">
        <v>8127</v>
      </c>
      <c r="E434" s="15" t="n">
        <f aca="false">B434/D434</f>
        <v>37.7654991511372</v>
      </c>
      <c r="F434" s="15" t="n">
        <f aca="false">C434/D434</f>
        <v>40.8813106375644</v>
      </c>
      <c r="G434" s="13" t="n">
        <f aca="false">B434-C434</f>
        <v>-25322.199950194</v>
      </c>
      <c r="H434" s="16" t="n">
        <f aca="false">G434/B434</f>
        <v>-0.0825041785879161</v>
      </c>
      <c r="I434" s="15" t="n">
        <f aca="false">G434/D434</f>
        <v>-3.11581148642722</v>
      </c>
      <c r="J434" s="16" t="n">
        <f aca="false">I434/E434</f>
        <v>-0.0825041785879161</v>
      </c>
      <c r="K434" s="17" t="str">
        <f aca="false">TEXT(A434,"dddd")</f>
        <v>Saturday</v>
      </c>
      <c r="L434" s="17" t="str">
        <f aca="false">IF(AND(A434&gt;=DATE(2014,9,24),A434&lt;=DATE(2014,10,6)),"Promo 1",IF(AND(A434&gt;=DATE(2014,9,10),A434&lt;=DATE(2014,9,23)),"Baseline 1",IF(AND(A434&gt;=DATE(2015,9,23),A434&lt;=DATE(2015,10,6)),"Promo 2",IF(AND(A434&gt;=DATE(2015,9,9),A434&lt;=DATE(2015,9,22)),"Baseline 2",IF(AND(A434&gt;=DATE(2016,6,23),A434&lt;=DATE(2016,7,6)),"Promo 3",IF(AND(A434&gt;=DATE(2016,6,9),A434&lt;=DATE(2016,6,22)),"Baseline 3","Other"))))))</f>
        <v>Other</v>
      </c>
    </row>
    <row r="435" customFormat="false" ht="15" hidden="false" customHeight="true" outlineLevel="0" collapsed="false">
      <c r="A435" s="12" t="n">
        <v>42071</v>
      </c>
      <c r="B435" s="13" t="n">
        <v>122106.795622386</v>
      </c>
      <c r="C435" s="13" t="n">
        <v>121394.812201172</v>
      </c>
      <c r="D435" s="14" t="n">
        <v>2966</v>
      </c>
      <c r="E435" s="15" t="n">
        <f aca="false">B435/D435</f>
        <v>41.1688454559629</v>
      </c>
      <c r="F435" s="15" t="n">
        <f aca="false">C435/D435</f>
        <v>40.9287971008672</v>
      </c>
      <c r="G435" s="13" t="n">
        <f aca="false">B435-C435</f>
        <v>711.983421213998</v>
      </c>
      <c r="H435" s="16" t="n">
        <f aca="false">G435/B435</f>
        <v>0.00583082552928339</v>
      </c>
      <c r="I435" s="15" t="n">
        <f aca="false">G435/D435</f>
        <v>0.240048355095751</v>
      </c>
      <c r="J435" s="16" t="n">
        <f aca="false">I435/E435</f>
        <v>0.00583082552928339</v>
      </c>
      <c r="K435" s="17" t="str">
        <f aca="false">TEXT(A435,"dddd")</f>
        <v>Sunday</v>
      </c>
      <c r="L435" s="17" t="str">
        <f aca="false">IF(AND(A435&gt;=DATE(2014,9,24),A435&lt;=DATE(2014,10,6)),"Promo 1",IF(AND(A435&gt;=DATE(2014,9,10),A435&lt;=DATE(2014,9,23)),"Baseline 1",IF(AND(A435&gt;=DATE(2015,9,23),A435&lt;=DATE(2015,10,6)),"Promo 2",IF(AND(A435&gt;=DATE(2015,9,9),A435&lt;=DATE(2015,9,22)),"Baseline 2",IF(AND(A435&gt;=DATE(2016,6,23),A435&lt;=DATE(2016,7,6)),"Promo 3",IF(AND(A435&gt;=DATE(2016,6,9),A435&lt;=DATE(2016,6,22)),"Baseline 3","Other"))))))</f>
        <v>Other</v>
      </c>
    </row>
    <row r="436" customFormat="false" ht="15" hidden="false" customHeight="true" outlineLevel="0" collapsed="false">
      <c r="A436" s="12" t="n">
        <v>42072</v>
      </c>
      <c r="B436" s="13" t="n">
        <v>117661.280792547</v>
      </c>
      <c r="C436" s="13" t="n">
        <v>116861.158273552</v>
      </c>
      <c r="D436" s="14" t="n">
        <v>2858</v>
      </c>
      <c r="E436" s="15" t="n">
        <f aca="false">B436/D436</f>
        <v>41.169097548127</v>
      </c>
      <c r="F436" s="15" t="n">
        <f aca="false">C436/D436</f>
        <v>40.889138654147</v>
      </c>
      <c r="G436" s="13" t="n">
        <f aca="false">B436-C436</f>
        <v>800.122518994991</v>
      </c>
      <c r="H436" s="16" t="n">
        <f aca="false">G436/B436</f>
        <v>0.00680021935513108</v>
      </c>
      <c r="I436" s="15" t="n">
        <f aca="false">G436/D436</f>
        <v>0.279958893980053</v>
      </c>
      <c r="J436" s="16" t="n">
        <f aca="false">I436/E436</f>
        <v>0.00680021935513108</v>
      </c>
      <c r="K436" s="17" t="str">
        <f aca="false">TEXT(A436,"dddd")</f>
        <v>Monday</v>
      </c>
      <c r="L436" s="17" t="str">
        <f aca="false">IF(AND(A436&gt;=DATE(2014,9,24),A436&lt;=DATE(2014,10,6)),"Promo 1",IF(AND(A436&gt;=DATE(2014,9,10),A436&lt;=DATE(2014,9,23)),"Baseline 1",IF(AND(A436&gt;=DATE(2015,9,23),A436&lt;=DATE(2015,10,6)),"Promo 2",IF(AND(A436&gt;=DATE(2015,9,9),A436&lt;=DATE(2015,9,22)),"Baseline 2",IF(AND(A436&gt;=DATE(2016,6,23),A436&lt;=DATE(2016,7,6)),"Promo 3",IF(AND(A436&gt;=DATE(2016,6,9),A436&lt;=DATE(2016,6,22)),"Baseline 3","Other"))))))</f>
        <v>Other</v>
      </c>
    </row>
    <row r="437" customFormat="false" ht="15" hidden="false" customHeight="true" outlineLevel="0" collapsed="false">
      <c r="A437" s="12" t="n">
        <v>42073</v>
      </c>
      <c r="B437" s="13" t="n">
        <v>62499.7991715604</v>
      </c>
      <c r="C437" s="13" t="n">
        <v>62073.8726541652</v>
      </c>
      <c r="D437" s="14" t="n">
        <v>1518</v>
      </c>
      <c r="E437" s="15" t="n">
        <f aca="false">B437/D437</f>
        <v>41.1724632223718</v>
      </c>
      <c r="F437" s="15" t="n">
        <f aca="false">C437/D437</f>
        <v>40.8918792188177</v>
      </c>
      <c r="G437" s="13" t="n">
        <f aca="false">B437-C437</f>
        <v>425.926517395201</v>
      </c>
      <c r="H437" s="16" t="n">
        <f aca="false">G437/B437</f>
        <v>0.00681484617616199</v>
      </c>
      <c r="I437" s="15" t="n">
        <f aca="false">G437/D437</f>
        <v>0.280584003554151</v>
      </c>
      <c r="J437" s="16" t="n">
        <f aca="false">I437/E437</f>
        <v>0.00681484617616199</v>
      </c>
      <c r="K437" s="17" t="str">
        <f aca="false">TEXT(A437,"dddd")</f>
        <v>Tuesday</v>
      </c>
      <c r="L437" s="17" t="str">
        <f aca="false">IF(AND(A437&gt;=DATE(2014,9,24),A437&lt;=DATE(2014,10,6)),"Promo 1",IF(AND(A437&gt;=DATE(2014,9,10),A437&lt;=DATE(2014,9,23)),"Baseline 1",IF(AND(A437&gt;=DATE(2015,9,23),A437&lt;=DATE(2015,10,6)),"Promo 2",IF(AND(A437&gt;=DATE(2015,9,9),A437&lt;=DATE(2015,9,22)),"Baseline 2",IF(AND(A437&gt;=DATE(2016,6,23),A437&lt;=DATE(2016,7,6)),"Promo 3",IF(AND(A437&gt;=DATE(2016,6,9),A437&lt;=DATE(2016,6,22)),"Baseline 3","Other"))))))</f>
        <v>Other</v>
      </c>
    </row>
    <row r="438" customFormat="false" ht="15" hidden="false" customHeight="true" outlineLevel="0" collapsed="false">
      <c r="A438" s="12" t="n">
        <v>42074</v>
      </c>
      <c r="B438" s="13" t="n">
        <v>57063.9841242704</v>
      </c>
      <c r="C438" s="13" t="n">
        <v>56638.2813706081</v>
      </c>
      <c r="D438" s="14" t="n">
        <v>1386</v>
      </c>
      <c r="E438" s="15" t="n">
        <f aca="false">B438/D438</f>
        <v>41.1717057173668</v>
      </c>
      <c r="F438" s="15" t="n">
        <f aca="false">C438/D438</f>
        <v>40.8645608734546</v>
      </c>
      <c r="G438" s="13" t="n">
        <f aca="false">B438-C438</f>
        <v>425.702753662299</v>
      </c>
      <c r="H438" s="16" t="n">
        <f aca="false">G438/B438</f>
        <v>0.0074600951930596</v>
      </c>
      <c r="I438" s="15" t="n">
        <f aca="false">G438/D438</f>
        <v>0.307144843912193</v>
      </c>
      <c r="J438" s="16" t="n">
        <f aca="false">I438/E438</f>
        <v>0.0074600951930596</v>
      </c>
      <c r="K438" s="17" t="str">
        <f aca="false">TEXT(A438,"dddd")</f>
        <v>Wednesday</v>
      </c>
      <c r="L438" s="17" t="str">
        <f aca="false">IF(AND(A438&gt;=DATE(2014,9,24),A438&lt;=DATE(2014,10,6)),"Promo 1",IF(AND(A438&gt;=DATE(2014,9,10),A438&lt;=DATE(2014,9,23)),"Baseline 1",IF(AND(A438&gt;=DATE(2015,9,23),A438&lt;=DATE(2015,10,6)),"Promo 2",IF(AND(A438&gt;=DATE(2015,9,9),A438&lt;=DATE(2015,9,22)),"Baseline 2",IF(AND(A438&gt;=DATE(2016,6,23),A438&lt;=DATE(2016,7,6)),"Promo 3",IF(AND(A438&gt;=DATE(2016,6,9),A438&lt;=DATE(2016,6,22)),"Baseline 3","Other"))))))</f>
        <v>Other</v>
      </c>
    </row>
    <row r="439" customFormat="false" ht="15" hidden="false" customHeight="true" outlineLevel="0" collapsed="false">
      <c r="A439" s="12" t="n">
        <v>42075</v>
      </c>
      <c r="B439" s="13" t="n">
        <v>48008.4828416603</v>
      </c>
      <c r="C439" s="13" t="n">
        <v>47681.6720788716</v>
      </c>
      <c r="D439" s="14" t="n">
        <v>1166</v>
      </c>
      <c r="E439" s="15" t="n">
        <f aca="false">B439/D439</f>
        <v>41.1736559533965</v>
      </c>
      <c r="F439" s="15" t="n">
        <f aca="false">C439/D439</f>
        <v>40.8933722803358</v>
      </c>
      <c r="G439" s="13" t="n">
        <f aca="false">B439-C439</f>
        <v>326.8107627887</v>
      </c>
      <c r="H439" s="16" t="n">
        <f aca="false">G439/B439</f>
        <v>0.00680735452246168</v>
      </c>
      <c r="I439" s="15" t="n">
        <f aca="false">G439/D439</f>
        <v>0.280283673060635</v>
      </c>
      <c r="J439" s="16" t="n">
        <f aca="false">I439/E439</f>
        <v>0.00680735452246168</v>
      </c>
      <c r="K439" s="17" t="str">
        <f aca="false">TEXT(A439,"dddd")</f>
        <v>Thursday</v>
      </c>
      <c r="L439" s="17" t="str">
        <f aca="false">IF(AND(A439&gt;=DATE(2014,9,24),A439&lt;=DATE(2014,10,6)),"Promo 1",IF(AND(A439&gt;=DATE(2014,9,10),A439&lt;=DATE(2014,9,23)),"Baseline 1",IF(AND(A439&gt;=DATE(2015,9,23),A439&lt;=DATE(2015,10,6)),"Promo 2",IF(AND(A439&gt;=DATE(2015,9,9),A439&lt;=DATE(2015,9,22)),"Baseline 2",IF(AND(A439&gt;=DATE(2016,6,23),A439&lt;=DATE(2016,7,6)),"Promo 3",IF(AND(A439&gt;=DATE(2016,6,9),A439&lt;=DATE(2016,6,22)),"Baseline 3","Other"))))))</f>
        <v>Other</v>
      </c>
    </row>
    <row r="440" customFormat="false" ht="15" hidden="false" customHeight="true" outlineLevel="0" collapsed="false">
      <c r="A440" s="12" t="n">
        <v>42076</v>
      </c>
      <c r="B440" s="13" t="n">
        <v>117446.839113308</v>
      </c>
      <c r="C440" s="13" t="n">
        <v>116681.141551659</v>
      </c>
      <c r="D440" s="14" t="n">
        <v>2853</v>
      </c>
      <c r="E440" s="15" t="n">
        <f aca="false">B440/D440</f>
        <v>41.1660845122005</v>
      </c>
      <c r="F440" s="15" t="n">
        <f aca="false">C440/D440</f>
        <v>40.8977012098349</v>
      </c>
      <c r="G440" s="13" t="n">
        <f aca="false">B440-C440</f>
        <v>765.697561648995</v>
      </c>
      <c r="H440" s="16" t="n">
        <f aca="false">G440/B440</f>
        <v>0.00651952464135949</v>
      </c>
      <c r="I440" s="15" t="n">
        <f aca="false">G440/D440</f>
        <v>0.268383302365578</v>
      </c>
      <c r="J440" s="16" t="n">
        <f aca="false">I440/E440</f>
        <v>0.00651952464135949</v>
      </c>
      <c r="K440" s="17" t="str">
        <f aca="false">TEXT(A440,"dddd")</f>
        <v>Friday</v>
      </c>
      <c r="L440" s="17" t="str">
        <f aca="false">IF(AND(A440&gt;=DATE(2014,9,24),A440&lt;=DATE(2014,10,6)),"Promo 1",IF(AND(A440&gt;=DATE(2014,9,10),A440&lt;=DATE(2014,9,23)),"Baseline 1",IF(AND(A440&gt;=DATE(2015,9,23),A440&lt;=DATE(2015,10,6)),"Promo 2",IF(AND(A440&gt;=DATE(2015,9,9),A440&lt;=DATE(2015,9,22)),"Baseline 2",IF(AND(A440&gt;=DATE(2016,6,23),A440&lt;=DATE(2016,7,6)),"Promo 3",IF(AND(A440&gt;=DATE(2016,6,9),A440&lt;=DATE(2016,6,22)),"Baseline 3","Other"))))))</f>
        <v>Other</v>
      </c>
    </row>
    <row r="441" customFormat="false" ht="15" hidden="false" customHeight="true" outlineLevel="0" collapsed="false">
      <c r="A441" s="12" t="n">
        <v>42077</v>
      </c>
      <c r="B441" s="13" t="n">
        <v>150591.547900835</v>
      </c>
      <c r="C441" s="13" t="n">
        <v>149573.82759269</v>
      </c>
      <c r="D441" s="14" t="n">
        <v>3657</v>
      </c>
      <c r="E441" s="15" t="n">
        <f aca="false">B441/D441</f>
        <v>41.1789849332335</v>
      </c>
      <c r="F441" s="15" t="n">
        <f aca="false">C441/D441</f>
        <v>40.9006911656248</v>
      </c>
      <c r="G441" s="13" t="n">
        <f aca="false">B441-C441</f>
        <v>1017.72030814498</v>
      </c>
      <c r="H441" s="16" t="n">
        <f aca="false">G441/B441</f>
        <v>0.0067581502569796</v>
      </c>
      <c r="I441" s="15" t="n">
        <f aca="false">G441/D441</f>
        <v>0.278293767608691</v>
      </c>
      <c r="J441" s="16" t="n">
        <f aca="false">I441/E441</f>
        <v>0.0067581502569796</v>
      </c>
      <c r="K441" s="17" t="str">
        <f aca="false">TEXT(A441,"dddd")</f>
        <v>Saturday</v>
      </c>
      <c r="L441" s="17" t="str">
        <f aca="false">IF(AND(A441&gt;=DATE(2014,9,24),A441&lt;=DATE(2014,10,6)),"Promo 1",IF(AND(A441&gt;=DATE(2014,9,10),A441&lt;=DATE(2014,9,23)),"Baseline 1",IF(AND(A441&gt;=DATE(2015,9,23),A441&lt;=DATE(2015,10,6)),"Promo 2",IF(AND(A441&gt;=DATE(2015,9,9),A441&lt;=DATE(2015,9,22)),"Baseline 2",IF(AND(A441&gt;=DATE(2016,6,23),A441&lt;=DATE(2016,7,6)),"Promo 3",IF(AND(A441&gt;=DATE(2016,6,9),A441&lt;=DATE(2016,6,22)),"Baseline 3","Other"))))))</f>
        <v>Other</v>
      </c>
    </row>
    <row r="442" customFormat="false" ht="15" hidden="false" customHeight="true" outlineLevel="0" collapsed="false">
      <c r="A442" s="12" t="n">
        <v>42078</v>
      </c>
      <c r="B442" s="13" t="n">
        <v>67152.4749536404</v>
      </c>
      <c r="C442" s="13" t="n">
        <v>66802.9832178399</v>
      </c>
      <c r="D442" s="14" t="n">
        <v>1631</v>
      </c>
      <c r="E442" s="15" t="n">
        <f aca="false">B442/D442</f>
        <v>41.172578144476</v>
      </c>
      <c r="F442" s="15" t="n">
        <f aca="false">C442/D442</f>
        <v>40.9582974971428</v>
      </c>
      <c r="G442" s="13" t="n">
        <f aca="false">B442-C442</f>
        <v>349.491735800504</v>
      </c>
      <c r="H442" s="16" t="n">
        <f aca="false">G442/B442</f>
        <v>0.00520445055884806</v>
      </c>
      <c r="I442" s="15" t="n">
        <f aca="false">G442/D442</f>
        <v>0.214280647333234</v>
      </c>
      <c r="J442" s="16" t="n">
        <f aca="false">I442/E442</f>
        <v>0.00520445055884806</v>
      </c>
      <c r="K442" s="17" t="str">
        <f aca="false">TEXT(A442,"dddd")</f>
        <v>Sunday</v>
      </c>
      <c r="L442" s="17" t="str">
        <f aca="false">IF(AND(A442&gt;=DATE(2014,9,24),A442&lt;=DATE(2014,10,6)),"Promo 1",IF(AND(A442&gt;=DATE(2014,9,10),A442&lt;=DATE(2014,9,23)),"Baseline 1",IF(AND(A442&gt;=DATE(2015,9,23),A442&lt;=DATE(2015,10,6)),"Promo 2",IF(AND(A442&gt;=DATE(2015,9,9),A442&lt;=DATE(2015,9,22)),"Baseline 2",IF(AND(A442&gt;=DATE(2016,6,23),A442&lt;=DATE(2016,7,6)),"Promo 3",IF(AND(A442&gt;=DATE(2016,6,9),A442&lt;=DATE(2016,6,22)),"Baseline 3","Other"))))))</f>
        <v>Other</v>
      </c>
    </row>
    <row r="443" customFormat="false" ht="15" hidden="false" customHeight="true" outlineLevel="0" collapsed="false">
      <c r="A443" s="12" t="n">
        <v>42079</v>
      </c>
      <c r="B443" s="13" t="n">
        <v>80635.2892485905</v>
      </c>
      <c r="C443" s="13" t="n">
        <v>80121.2905225416</v>
      </c>
      <c r="D443" s="14" t="n">
        <v>1959</v>
      </c>
      <c r="E443" s="15" t="n">
        <f aca="false">B443/D443</f>
        <v>41.1614544403219</v>
      </c>
      <c r="F443" s="15" t="n">
        <f aca="false">C443/D443</f>
        <v>40.8990763259528</v>
      </c>
      <c r="G443" s="13" t="n">
        <f aca="false">B443-C443</f>
        <v>513.9987260489</v>
      </c>
      <c r="H443" s="16" t="n">
        <f aca="false">G443/B443</f>
        <v>0.00637436451011285</v>
      </c>
      <c r="I443" s="15" t="n">
        <f aca="false">G443/D443</f>
        <v>0.262378114369015</v>
      </c>
      <c r="J443" s="16" t="n">
        <f aca="false">I443/E443</f>
        <v>0.00637436451011285</v>
      </c>
      <c r="K443" s="17" t="str">
        <f aca="false">TEXT(A443,"dddd")</f>
        <v>Monday</v>
      </c>
      <c r="L443" s="17" t="str">
        <f aca="false">IF(AND(A443&gt;=DATE(2014,9,24),A443&lt;=DATE(2014,10,6)),"Promo 1",IF(AND(A443&gt;=DATE(2014,9,10),A443&lt;=DATE(2014,9,23)),"Baseline 1",IF(AND(A443&gt;=DATE(2015,9,23),A443&lt;=DATE(2015,10,6)),"Promo 2",IF(AND(A443&gt;=DATE(2015,9,9),A443&lt;=DATE(2015,9,22)),"Baseline 2",IF(AND(A443&gt;=DATE(2016,6,23),A443&lt;=DATE(2016,7,6)),"Promo 3",IF(AND(A443&gt;=DATE(2016,6,9),A443&lt;=DATE(2016,6,22)),"Baseline 3","Other"))))))</f>
        <v>Other</v>
      </c>
    </row>
    <row r="444" customFormat="false" ht="15" hidden="false" customHeight="true" outlineLevel="0" collapsed="false">
      <c r="A444" s="12" t="n">
        <v>42080</v>
      </c>
      <c r="B444" s="13" t="n">
        <v>50669.6370983404</v>
      </c>
      <c r="C444" s="13" t="n">
        <v>50308.957054208</v>
      </c>
      <c r="D444" s="14" t="n">
        <v>1230</v>
      </c>
      <c r="E444" s="15" t="n">
        <f aca="false">B444/D444</f>
        <v>41.1948269092198</v>
      </c>
      <c r="F444" s="15" t="n">
        <f aca="false">C444/D444</f>
        <v>40.9015911009821</v>
      </c>
      <c r="G444" s="13" t="n">
        <f aca="false">B444-C444</f>
        <v>360.680044132401</v>
      </c>
      <c r="H444" s="16" t="n">
        <f aca="false">G444/B444</f>
        <v>0.00711826775929711</v>
      </c>
      <c r="I444" s="15" t="n">
        <f aca="false">G444/D444</f>
        <v>0.293235808237725</v>
      </c>
      <c r="J444" s="16" t="n">
        <f aca="false">I444/E444</f>
        <v>0.00711826775929711</v>
      </c>
      <c r="K444" s="17" t="str">
        <f aca="false">TEXT(A444,"dddd")</f>
        <v>Tuesday</v>
      </c>
      <c r="L444" s="17" t="str">
        <f aca="false">IF(AND(A444&gt;=DATE(2014,9,24),A444&lt;=DATE(2014,10,6)),"Promo 1",IF(AND(A444&gt;=DATE(2014,9,10),A444&lt;=DATE(2014,9,23)),"Baseline 1",IF(AND(A444&gt;=DATE(2015,9,23),A444&lt;=DATE(2015,10,6)),"Promo 2",IF(AND(A444&gt;=DATE(2015,9,9),A444&lt;=DATE(2015,9,22)),"Baseline 2",IF(AND(A444&gt;=DATE(2016,6,23),A444&lt;=DATE(2016,7,6)),"Promo 3",IF(AND(A444&gt;=DATE(2016,6,9),A444&lt;=DATE(2016,6,22)),"Baseline 3","Other"))))))</f>
        <v>Other</v>
      </c>
    </row>
    <row r="445" customFormat="false" ht="15" hidden="false" customHeight="true" outlineLevel="0" collapsed="false">
      <c r="A445" s="12" t="n">
        <v>42081</v>
      </c>
      <c r="B445" s="13" t="n">
        <v>48648.9926649403</v>
      </c>
      <c r="C445" s="13" t="n">
        <v>48362.0687919478</v>
      </c>
      <c r="D445" s="14" t="n">
        <v>1182</v>
      </c>
      <c r="E445" s="15" t="n">
        <f aca="false">B445/D445</f>
        <v>41.1582002241458</v>
      </c>
      <c r="F445" s="15" t="n">
        <f aca="false">C445/D445</f>
        <v>40.9154558307511</v>
      </c>
      <c r="G445" s="13" t="n">
        <f aca="false">B445-C445</f>
        <v>286.923872992498</v>
      </c>
      <c r="H445" s="16" t="n">
        <f aca="false">G445/B445</f>
        <v>0.00589783790527023</v>
      </c>
      <c r="I445" s="15" t="n">
        <f aca="false">G445/D445</f>
        <v>0.242744393394669</v>
      </c>
      <c r="J445" s="16" t="n">
        <f aca="false">I445/E445</f>
        <v>0.00589783790527023</v>
      </c>
      <c r="K445" s="17" t="str">
        <f aca="false">TEXT(A445,"dddd")</f>
        <v>Wednesday</v>
      </c>
      <c r="L445" s="17" t="str">
        <f aca="false">IF(AND(A445&gt;=DATE(2014,9,24),A445&lt;=DATE(2014,10,6)),"Promo 1",IF(AND(A445&gt;=DATE(2014,9,10),A445&lt;=DATE(2014,9,23)),"Baseline 1",IF(AND(A445&gt;=DATE(2015,9,23),A445&lt;=DATE(2015,10,6)),"Promo 2",IF(AND(A445&gt;=DATE(2015,9,9),A445&lt;=DATE(2015,9,22)),"Baseline 2",IF(AND(A445&gt;=DATE(2016,6,23),A445&lt;=DATE(2016,7,6)),"Promo 3",IF(AND(A445&gt;=DATE(2016,6,9),A445&lt;=DATE(2016,6,22)),"Baseline 3","Other"))))))</f>
        <v>Other</v>
      </c>
    </row>
    <row r="446" customFormat="false" ht="15" hidden="false" customHeight="true" outlineLevel="0" collapsed="false">
      <c r="A446" s="12" t="n">
        <v>42082</v>
      </c>
      <c r="B446" s="13" t="n">
        <v>43213.1776176503</v>
      </c>
      <c r="C446" s="13" t="n">
        <v>42981.2168477546</v>
      </c>
      <c r="D446" s="14" t="n">
        <v>1050</v>
      </c>
      <c r="E446" s="15" t="n">
        <f aca="false">B446/D446</f>
        <v>41.155407254905</v>
      </c>
      <c r="F446" s="15" t="n">
        <f aca="false">C446/D446</f>
        <v>40.9344922359568</v>
      </c>
      <c r="G446" s="13" t="n">
        <f aca="false">B446-C446</f>
        <v>231.960769895697</v>
      </c>
      <c r="H446" s="16" t="n">
        <f aca="false">G446/B446</f>
        <v>0.00536782487851468</v>
      </c>
      <c r="I446" s="15" t="n">
        <f aca="false">G446/D446</f>
        <v>0.220915018948283</v>
      </c>
      <c r="J446" s="16" t="n">
        <f aca="false">I446/E446</f>
        <v>0.00536782487851468</v>
      </c>
      <c r="K446" s="17" t="str">
        <f aca="false">TEXT(A446,"dddd")</f>
        <v>Thursday</v>
      </c>
      <c r="L446" s="17" t="str">
        <f aca="false">IF(AND(A446&gt;=DATE(2014,9,24),A446&lt;=DATE(2014,10,6)),"Promo 1",IF(AND(A446&gt;=DATE(2014,9,10),A446&lt;=DATE(2014,9,23)),"Baseline 1",IF(AND(A446&gt;=DATE(2015,9,23),A446&lt;=DATE(2015,10,6)),"Promo 2",IF(AND(A446&gt;=DATE(2015,9,9),A446&lt;=DATE(2015,9,22)),"Baseline 2",IF(AND(A446&gt;=DATE(2016,6,23),A446&lt;=DATE(2016,7,6)),"Promo 3",IF(AND(A446&gt;=DATE(2016,6,9),A446&lt;=DATE(2016,6,22)),"Baseline 3","Other"))))))</f>
        <v>Other</v>
      </c>
    </row>
    <row r="447" customFormat="false" ht="15" hidden="false" customHeight="true" outlineLevel="0" collapsed="false">
      <c r="A447" s="12" t="n">
        <v>42083</v>
      </c>
      <c r="B447" s="13" t="n">
        <v>96881.0180945894</v>
      </c>
      <c r="C447" s="13" t="n">
        <v>96453.2872848832</v>
      </c>
      <c r="D447" s="14" t="n">
        <v>2353</v>
      </c>
      <c r="E447" s="15" t="n">
        <f aca="false">B447/D447</f>
        <v>41.1734033551166</v>
      </c>
      <c r="F447" s="15" t="n">
        <f aca="false">C447/D447</f>
        <v>40.9916223055177</v>
      </c>
      <c r="G447" s="13" t="n">
        <f aca="false">B447-C447</f>
        <v>427.730809706191</v>
      </c>
      <c r="H447" s="16" t="n">
        <f aca="false">G447/B447</f>
        <v>0.00441501150708983</v>
      </c>
      <c r="I447" s="15" t="n">
        <f aca="false">G447/D447</f>
        <v>0.181781049598891</v>
      </c>
      <c r="J447" s="16" t="n">
        <f aca="false">I447/E447</f>
        <v>0.00441501150708983</v>
      </c>
      <c r="K447" s="17" t="str">
        <f aca="false">TEXT(A447,"dddd")</f>
        <v>Friday</v>
      </c>
      <c r="L447" s="17" t="str">
        <f aca="false">IF(AND(A447&gt;=DATE(2014,9,24),A447&lt;=DATE(2014,10,6)),"Promo 1",IF(AND(A447&gt;=DATE(2014,9,10),A447&lt;=DATE(2014,9,23)),"Baseline 1",IF(AND(A447&gt;=DATE(2015,9,23),A447&lt;=DATE(2015,10,6)),"Promo 2",IF(AND(A447&gt;=DATE(2015,9,9),A447&lt;=DATE(2015,9,22)),"Baseline 2",IF(AND(A447&gt;=DATE(2016,6,23),A447&lt;=DATE(2016,7,6)),"Promo 3",IF(AND(A447&gt;=DATE(2016,6,9),A447&lt;=DATE(2016,6,22)),"Baseline 3","Other"))))))</f>
        <v>Other</v>
      </c>
    </row>
    <row r="448" customFormat="false" ht="15" hidden="false" customHeight="true" outlineLevel="0" collapsed="false">
      <c r="A448" s="12" t="n">
        <v>42084</v>
      </c>
      <c r="B448" s="13" t="n">
        <v>121360.885141236</v>
      </c>
      <c r="C448" s="13" t="n">
        <v>120829.28797107</v>
      </c>
      <c r="D448" s="14" t="n">
        <v>2947</v>
      </c>
      <c r="E448" s="15" t="n">
        <f aca="false">B448/D448</f>
        <v>41.1811622467716</v>
      </c>
      <c r="F448" s="15" t="n">
        <f aca="false">C448/D448</f>
        <v>41.0007763729454</v>
      </c>
      <c r="G448" s="13" t="n">
        <f aca="false">B448-C448</f>
        <v>531.597170165987</v>
      </c>
      <c r="H448" s="16" t="n">
        <f aca="false">G448/B448</f>
        <v>0.0043803007002407</v>
      </c>
      <c r="I448" s="15" t="n">
        <f aca="false">G448/D448</f>
        <v>0.18038587382626</v>
      </c>
      <c r="J448" s="16" t="n">
        <f aca="false">I448/E448</f>
        <v>0.0043803007002407</v>
      </c>
      <c r="K448" s="17" t="str">
        <f aca="false">TEXT(A448,"dddd")</f>
        <v>Saturday</v>
      </c>
      <c r="L448" s="17" t="str">
        <f aca="false">IF(AND(A448&gt;=DATE(2014,9,24),A448&lt;=DATE(2014,10,6)),"Promo 1",IF(AND(A448&gt;=DATE(2014,9,10),A448&lt;=DATE(2014,9,23)),"Baseline 1",IF(AND(A448&gt;=DATE(2015,9,23),A448&lt;=DATE(2015,10,6)),"Promo 2",IF(AND(A448&gt;=DATE(2015,9,9),A448&lt;=DATE(2015,9,22)),"Baseline 2",IF(AND(A448&gt;=DATE(2016,6,23),A448&lt;=DATE(2016,7,6)),"Promo 3",IF(AND(A448&gt;=DATE(2016,6,9),A448&lt;=DATE(2016,6,22)),"Baseline 3","Other"))))))</f>
        <v>Other</v>
      </c>
    </row>
    <row r="449" customFormat="false" ht="15" hidden="false" customHeight="true" outlineLevel="0" collapsed="false">
      <c r="A449" s="12" t="n">
        <v>42085</v>
      </c>
      <c r="B449" s="13" t="n">
        <v>66954.3663719704</v>
      </c>
      <c r="C449" s="13" t="n">
        <v>66756.3764436421</v>
      </c>
      <c r="D449" s="14" t="n">
        <v>1626</v>
      </c>
      <c r="E449" s="15" t="n">
        <f aca="false">B449/D449</f>
        <v>41.1773470922327</v>
      </c>
      <c r="F449" s="15" t="n">
        <f aca="false">C449/D449</f>
        <v>41.0555820686606</v>
      </c>
      <c r="G449" s="13" t="n">
        <f aca="false">B449-C449</f>
        <v>197.989928328301</v>
      </c>
      <c r="H449" s="16" t="n">
        <f aca="false">G449/B449</f>
        <v>0.00295708762634467</v>
      </c>
      <c r="I449" s="15" t="n">
        <f aca="false">G449/D449</f>
        <v>0.121765023572141</v>
      </c>
      <c r="J449" s="16" t="n">
        <f aca="false">I449/E449</f>
        <v>0.00295708762634467</v>
      </c>
      <c r="K449" s="17" t="str">
        <f aca="false">TEXT(A449,"dddd")</f>
        <v>Sunday</v>
      </c>
      <c r="L449" s="17" t="str">
        <f aca="false">IF(AND(A449&gt;=DATE(2014,9,24),A449&lt;=DATE(2014,10,6)),"Promo 1",IF(AND(A449&gt;=DATE(2014,9,10),A449&lt;=DATE(2014,9,23)),"Baseline 1",IF(AND(A449&gt;=DATE(2015,9,23),A449&lt;=DATE(2015,10,6)),"Promo 2",IF(AND(A449&gt;=DATE(2015,9,9),A449&lt;=DATE(2015,9,22)),"Baseline 2",IF(AND(A449&gt;=DATE(2016,6,23),A449&lt;=DATE(2016,7,6)),"Promo 3",IF(AND(A449&gt;=DATE(2016,6,9),A449&lt;=DATE(2016,6,22)),"Baseline 3","Other"))))))</f>
        <v>Other</v>
      </c>
    </row>
    <row r="450" customFormat="false" ht="15" hidden="false" customHeight="true" outlineLevel="0" collapsed="false">
      <c r="A450" s="12" t="n">
        <v>42086</v>
      </c>
      <c r="B450" s="13" t="n">
        <v>81342.1507639304</v>
      </c>
      <c r="C450" s="13" t="n">
        <v>81132.0128972359</v>
      </c>
      <c r="D450" s="14" t="n">
        <v>1976</v>
      </c>
      <c r="E450" s="15" t="n">
        <f aca="false">B450/D450</f>
        <v>41.1650560546207</v>
      </c>
      <c r="F450" s="15" t="n">
        <f aca="false">C450/D450</f>
        <v>41.0587109803825</v>
      </c>
      <c r="G450" s="13" t="n">
        <f aca="false">B450-C450</f>
        <v>210.137866694509</v>
      </c>
      <c r="H450" s="16" t="n">
        <f aca="false">G450/B450</f>
        <v>0.00258338222829105</v>
      </c>
      <c r="I450" s="15" t="n">
        <f aca="false">G450/D450</f>
        <v>0.106345074238112</v>
      </c>
      <c r="J450" s="16" t="n">
        <f aca="false">I450/E450</f>
        <v>0.00258338222829105</v>
      </c>
      <c r="K450" s="17" t="str">
        <f aca="false">TEXT(A450,"dddd")</f>
        <v>Monday</v>
      </c>
      <c r="L450" s="17" t="str">
        <f aca="false">IF(AND(A450&gt;=DATE(2014,9,24),A450&lt;=DATE(2014,10,6)),"Promo 1",IF(AND(A450&gt;=DATE(2014,9,10),A450&lt;=DATE(2014,9,23)),"Baseline 1",IF(AND(A450&gt;=DATE(2015,9,23),A450&lt;=DATE(2015,10,6)),"Promo 2",IF(AND(A450&gt;=DATE(2015,9,9),A450&lt;=DATE(2015,9,22)),"Baseline 2",IF(AND(A450&gt;=DATE(2016,6,23),A450&lt;=DATE(2016,7,6)),"Promo 3",IF(AND(A450&gt;=DATE(2016,6,9),A450&lt;=DATE(2016,6,22)),"Baseline 3","Other"))))))</f>
        <v>Other</v>
      </c>
    </row>
    <row r="451" customFormat="false" ht="15" hidden="false" customHeight="true" outlineLevel="0" collapsed="false">
      <c r="A451" s="12" t="n">
        <v>42087</v>
      </c>
      <c r="B451" s="13" t="n">
        <v>125060.707911736</v>
      </c>
      <c r="C451" s="13" t="n">
        <v>136375.152713517</v>
      </c>
      <c r="D451" s="14" t="n">
        <v>3312</v>
      </c>
      <c r="E451" s="15" t="n">
        <f aca="false">B451/D451</f>
        <v>37.759875577215</v>
      </c>
      <c r="F451" s="15" t="n">
        <f aca="false">C451/D451</f>
        <v>41.176072679202</v>
      </c>
      <c r="G451" s="13" t="n">
        <f aca="false">B451-C451</f>
        <v>-11314.444801781</v>
      </c>
      <c r="H451" s="16" t="n">
        <f aca="false">G451/B451</f>
        <v>-0.0904716196694359</v>
      </c>
      <c r="I451" s="15" t="n">
        <f aca="false">G451/D451</f>
        <v>-3.41619710198701</v>
      </c>
      <c r="J451" s="16" t="n">
        <f aca="false">I451/E451</f>
        <v>-0.0904716196694359</v>
      </c>
      <c r="K451" s="17" t="str">
        <f aca="false">TEXT(A451,"dddd")</f>
        <v>Tuesday</v>
      </c>
      <c r="L451" s="17" t="str">
        <f aca="false">IF(AND(A451&gt;=DATE(2014,9,24),A451&lt;=DATE(2014,10,6)),"Promo 1",IF(AND(A451&gt;=DATE(2014,9,10),A451&lt;=DATE(2014,9,23)),"Baseline 1",IF(AND(A451&gt;=DATE(2015,9,23),A451&lt;=DATE(2015,10,6)),"Promo 2",IF(AND(A451&gt;=DATE(2015,9,9),A451&lt;=DATE(2015,9,22)),"Baseline 2",IF(AND(A451&gt;=DATE(2016,6,23),A451&lt;=DATE(2016,7,6)),"Promo 3",IF(AND(A451&gt;=DATE(2016,6,9),A451&lt;=DATE(2016,6,22)),"Baseline 3","Other"))))))</f>
        <v>Other</v>
      </c>
    </row>
    <row r="452" customFormat="false" ht="15" hidden="false" customHeight="true" outlineLevel="0" collapsed="false">
      <c r="A452" s="12" t="n">
        <v>42088</v>
      </c>
      <c r="B452" s="13" t="n">
        <v>253218.831241984</v>
      </c>
      <c r="C452" s="13" t="n">
        <v>276194.829484043</v>
      </c>
      <c r="D452" s="14" t="n">
        <v>6704</v>
      </c>
      <c r="E452" s="15" t="n">
        <f aca="false">B452/D452</f>
        <v>37.7713053761909</v>
      </c>
      <c r="F452" s="15" t="n">
        <f aca="false">C452/D452</f>
        <v>41.1985127511997</v>
      </c>
      <c r="G452" s="13" t="n">
        <f aca="false">B452-C452</f>
        <v>-22975.998242059</v>
      </c>
      <c r="H452" s="16" t="n">
        <f aca="false">G452/B452</f>
        <v>-0.0907357408189851</v>
      </c>
      <c r="I452" s="15" t="n">
        <f aca="false">G452/D452</f>
        <v>-3.4272073750088</v>
      </c>
      <c r="J452" s="16" t="n">
        <f aca="false">I452/E452</f>
        <v>-0.0907357408189851</v>
      </c>
      <c r="K452" s="17" t="str">
        <f aca="false">TEXT(A452,"dddd")</f>
        <v>Wednesday</v>
      </c>
      <c r="L452" s="17" t="str">
        <f aca="false">IF(AND(A452&gt;=DATE(2014,9,24),A452&lt;=DATE(2014,10,6)),"Promo 1",IF(AND(A452&gt;=DATE(2014,9,10),A452&lt;=DATE(2014,9,23)),"Baseline 1",IF(AND(A452&gt;=DATE(2015,9,23),A452&lt;=DATE(2015,10,6)),"Promo 2",IF(AND(A452&gt;=DATE(2015,9,9),A452&lt;=DATE(2015,9,22)),"Baseline 2",IF(AND(A452&gt;=DATE(2016,6,23),A452&lt;=DATE(2016,7,6)),"Promo 3",IF(AND(A452&gt;=DATE(2016,6,9),A452&lt;=DATE(2016,6,22)),"Baseline 3","Other"))))))</f>
        <v>Other</v>
      </c>
    </row>
    <row r="453" customFormat="false" ht="15" hidden="false" customHeight="true" outlineLevel="0" collapsed="false">
      <c r="A453" s="12" t="n">
        <v>42089</v>
      </c>
      <c r="B453" s="13" t="n">
        <v>229184.471880467</v>
      </c>
      <c r="C453" s="13" t="n">
        <v>250361.150209326</v>
      </c>
      <c r="D453" s="14" t="n">
        <v>6077</v>
      </c>
      <c r="E453" s="15" t="n">
        <f aca="false">B453/D453</f>
        <v>37.7134230509243</v>
      </c>
      <c r="F453" s="15" t="n">
        <f aca="false">C453/D453</f>
        <v>41.1981487920563</v>
      </c>
      <c r="G453" s="13" t="n">
        <f aca="false">B453-C453</f>
        <v>-21176.678328859</v>
      </c>
      <c r="H453" s="16" t="n">
        <f aca="false">G453/B453</f>
        <v>-0.0924001445434046</v>
      </c>
      <c r="I453" s="15" t="n">
        <f aca="false">G453/D453</f>
        <v>-3.48472574113197</v>
      </c>
      <c r="J453" s="16" t="n">
        <f aca="false">I453/E453</f>
        <v>-0.0924001445434046</v>
      </c>
      <c r="K453" s="17" t="str">
        <f aca="false">TEXT(A453,"dddd")</f>
        <v>Thursday</v>
      </c>
      <c r="L453" s="17" t="str">
        <f aca="false">IF(AND(A453&gt;=DATE(2014,9,24),A453&lt;=DATE(2014,10,6)),"Promo 1",IF(AND(A453&gt;=DATE(2014,9,10),A453&lt;=DATE(2014,9,23)),"Baseline 1",IF(AND(A453&gt;=DATE(2015,9,23),A453&lt;=DATE(2015,10,6)),"Promo 2",IF(AND(A453&gt;=DATE(2015,9,9),A453&lt;=DATE(2015,9,22)),"Baseline 2",IF(AND(A453&gt;=DATE(2016,6,23),A453&lt;=DATE(2016,7,6)),"Promo 3",IF(AND(A453&gt;=DATE(2016,6,9),A453&lt;=DATE(2016,6,22)),"Baseline 3","Other"))))))</f>
        <v>Other</v>
      </c>
    </row>
    <row r="454" customFormat="false" ht="15" hidden="false" customHeight="true" outlineLevel="0" collapsed="false">
      <c r="A454" s="12" t="n">
        <v>42090</v>
      </c>
      <c r="B454" s="13" t="n">
        <v>354191.35095057</v>
      </c>
      <c r="C454" s="13" t="n">
        <v>386464.651326986</v>
      </c>
      <c r="D454" s="14" t="n">
        <v>9386</v>
      </c>
      <c r="E454" s="15" t="n">
        <f aca="false">B454/D454</f>
        <v>37.7361337045142</v>
      </c>
      <c r="F454" s="15" t="n">
        <f aca="false">C454/D454</f>
        <v>41.1745846289139</v>
      </c>
      <c r="G454" s="13" t="n">
        <f aca="false">B454-C454</f>
        <v>-32273.300376416</v>
      </c>
      <c r="H454" s="16" t="n">
        <f aca="false">G454/B454</f>
        <v>-0.0911182621760855</v>
      </c>
      <c r="I454" s="15" t="n">
        <f aca="false">G454/D454</f>
        <v>-3.43845092439974</v>
      </c>
      <c r="J454" s="16" t="n">
        <f aca="false">I454/E454</f>
        <v>-0.0911182621760855</v>
      </c>
      <c r="K454" s="17" t="str">
        <f aca="false">TEXT(A454,"dddd")</f>
        <v>Friday</v>
      </c>
      <c r="L454" s="17" t="str">
        <f aca="false">IF(AND(A454&gt;=DATE(2014,9,24),A454&lt;=DATE(2014,10,6)),"Promo 1",IF(AND(A454&gt;=DATE(2014,9,10),A454&lt;=DATE(2014,9,23)),"Baseline 1",IF(AND(A454&gt;=DATE(2015,9,23),A454&lt;=DATE(2015,10,6)),"Promo 2",IF(AND(A454&gt;=DATE(2015,9,9),A454&lt;=DATE(2015,9,22)),"Baseline 2",IF(AND(A454&gt;=DATE(2016,6,23),A454&lt;=DATE(2016,7,6)),"Promo 3",IF(AND(A454&gt;=DATE(2016,6,9),A454&lt;=DATE(2016,6,22)),"Baseline 3","Other"))))))</f>
        <v>Other</v>
      </c>
    </row>
    <row r="455" customFormat="false" ht="15" hidden="false" customHeight="true" outlineLevel="0" collapsed="false">
      <c r="A455" s="12" t="n">
        <v>42091</v>
      </c>
      <c r="B455" s="13" t="n">
        <v>459484.666635486</v>
      </c>
      <c r="C455" s="13" t="n">
        <v>501362.572490348</v>
      </c>
      <c r="D455" s="14" t="n">
        <v>12181</v>
      </c>
      <c r="E455" s="15" t="n">
        <f aca="false">B455/D455</f>
        <v>37.7214240731866</v>
      </c>
      <c r="F455" s="15" t="n">
        <f aca="false">C455/D455</f>
        <v>41.1593935219069</v>
      </c>
      <c r="G455" s="13" t="n">
        <f aca="false">B455-C455</f>
        <v>-41877.905854862</v>
      </c>
      <c r="H455" s="16" t="n">
        <f aca="false">G455/B455</f>
        <v>-0.0911410301490739</v>
      </c>
      <c r="I455" s="15" t="n">
        <f aca="false">G455/D455</f>
        <v>-3.4379694487203</v>
      </c>
      <c r="J455" s="16" t="n">
        <f aca="false">I455/E455</f>
        <v>-0.0911410301490739</v>
      </c>
      <c r="K455" s="17" t="str">
        <f aca="false">TEXT(A455,"dddd")</f>
        <v>Saturday</v>
      </c>
      <c r="L455" s="17" t="str">
        <f aca="false">IF(AND(A455&gt;=DATE(2014,9,24),A455&lt;=DATE(2014,10,6)),"Promo 1",IF(AND(A455&gt;=DATE(2014,9,10),A455&lt;=DATE(2014,9,23)),"Baseline 1",IF(AND(A455&gt;=DATE(2015,9,23),A455&lt;=DATE(2015,10,6)),"Promo 2",IF(AND(A455&gt;=DATE(2015,9,9),A455&lt;=DATE(2015,9,22)),"Baseline 2",IF(AND(A455&gt;=DATE(2016,6,23),A455&lt;=DATE(2016,7,6)),"Promo 3",IF(AND(A455&gt;=DATE(2016,6,9),A455&lt;=DATE(2016,6,22)),"Baseline 3","Other"))))))</f>
        <v>Other</v>
      </c>
    </row>
    <row r="456" customFormat="false" ht="15" hidden="false" customHeight="true" outlineLevel="0" collapsed="false">
      <c r="A456" s="12" t="n">
        <v>42092</v>
      </c>
      <c r="B456" s="13" t="n">
        <v>224102.888470814</v>
      </c>
      <c r="C456" s="13" t="n">
        <v>244359.807462233</v>
      </c>
      <c r="D456" s="14" t="n">
        <v>5937</v>
      </c>
      <c r="E456" s="15" t="n">
        <f aca="false">B456/D456</f>
        <v>37.746823053868</v>
      </c>
      <c r="F456" s="15" t="n">
        <f aca="false">C456/D456</f>
        <v>41.158801998018</v>
      </c>
      <c r="G456" s="13" t="n">
        <f aca="false">B456-C456</f>
        <v>-20256.918991419</v>
      </c>
      <c r="H456" s="16" t="n">
        <f aca="false">G456/B456</f>
        <v>-0.0903911552842709</v>
      </c>
      <c r="I456" s="15" t="n">
        <f aca="false">G456/D456</f>
        <v>-3.41197894415007</v>
      </c>
      <c r="J456" s="16" t="n">
        <f aca="false">I456/E456</f>
        <v>-0.0903911552842709</v>
      </c>
      <c r="K456" s="17" t="str">
        <f aca="false">TEXT(A456,"dddd")</f>
        <v>Sunday</v>
      </c>
      <c r="L456" s="17" t="str">
        <f aca="false">IF(AND(A456&gt;=DATE(2014,9,24),A456&lt;=DATE(2014,10,6)),"Promo 1",IF(AND(A456&gt;=DATE(2014,9,10),A456&lt;=DATE(2014,9,23)),"Baseline 1",IF(AND(A456&gt;=DATE(2015,9,23),A456&lt;=DATE(2015,10,6)),"Promo 2",IF(AND(A456&gt;=DATE(2015,9,9),A456&lt;=DATE(2015,9,22)),"Baseline 2",IF(AND(A456&gt;=DATE(2016,6,23),A456&lt;=DATE(2016,7,6)),"Promo 3",IF(AND(A456&gt;=DATE(2016,6,9),A456&lt;=DATE(2016,6,22)),"Baseline 3","Other"))))))</f>
        <v>Other</v>
      </c>
    </row>
    <row r="457" customFormat="false" ht="15" hidden="false" customHeight="true" outlineLevel="0" collapsed="false">
      <c r="A457" s="12" t="n">
        <v>42093</v>
      </c>
      <c r="B457" s="13" t="n">
        <v>215203.558782358</v>
      </c>
      <c r="C457" s="13" t="n">
        <v>234819.447426689</v>
      </c>
      <c r="D457" s="14" t="n">
        <v>5706</v>
      </c>
      <c r="E457" s="15" t="n">
        <f aca="false">B457/D457</f>
        <v>37.7153099863929</v>
      </c>
      <c r="F457" s="15" t="n">
        <f aca="false">C457/D457</f>
        <v>41.1530752587958</v>
      </c>
      <c r="G457" s="13" t="n">
        <f aca="false">B457-C457</f>
        <v>-19615.888644331</v>
      </c>
      <c r="H457" s="16" t="n">
        <f aca="false">G457/B457</f>
        <v>-0.0911503915424054</v>
      </c>
      <c r="I457" s="15" t="n">
        <f aca="false">G457/D457</f>
        <v>-3.43776527240291</v>
      </c>
      <c r="J457" s="16" t="n">
        <f aca="false">I457/E457</f>
        <v>-0.0911503915424054</v>
      </c>
      <c r="K457" s="17" t="str">
        <f aca="false">TEXT(A457,"dddd")</f>
        <v>Monday</v>
      </c>
      <c r="L457" s="17" t="str">
        <f aca="false">IF(AND(A457&gt;=DATE(2014,9,24),A457&lt;=DATE(2014,10,6)),"Promo 1",IF(AND(A457&gt;=DATE(2014,9,10),A457&lt;=DATE(2014,9,23)),"Baseline 1",IF(AND(A457&gt;=DATE(2015,9,23),A457&lt;=DATE(2015,10,6)),"Promo 2",IF(AND(A457&gt;=DATE(2015,9,9),A457&lt;=DATE(2015,9,22)),"Baseline 2",IF(AND(A457&gt;=DATE(2016,6,23),A457&lt;=DATE(2016,7,6)),"Promo 3",IF(AND(A457&gt;=DATE(2016,6,9),A457&lt;=DATE(2016,6,22)),"Baseline 3","Other"))))))</f>
        <v>Other</v>
      </c>
    </row>
    <row r="458" customFormat="false" ht="15" hidden="false" customHeight="true" outlineLevel="0" collapsed="false">
      <c r="A458" s="12" t="n">
        <v>42094</v>
      </c>
      <c r="B458" s="13" t="n">
        <v>355534.912042067</v>
      </c>
      <c r="C458" s="13" t="n">
        <v>386988.914748484</v>
      </c>
      <c r="D458" s="14" t="n">
        <v>9421</v>
      </c>
      <c r="E458" s="15" t="n">
        <f aca="false">B458/D458</f>
        <v>37.7385534488979</v>
      </c>
      <c r="F458" s="15" t="n">
        <f aca="false">C458/D458</f>
        <v>41.0772651256219</v>
      </c>
      <c r="G458" s="13" t="n">
        <f aca="false">B458-C458</f>
        <v>-31454.002706417</v>
      </c>
      <c r="H458" s="16" t="n">
        <f aca="false">G458/B458</f>
        <v>-0.088469519141612</v>
      </c>
      <c r="I458" s="15" t="n">
        <f aca="false">G458/D458</f>
        <v>-3.33871167672402</v>
      </c>
      <c r="J458" s="16" t="n">
        <f aca="false">I458/E458</f>
        <v>-0.0884695191416121</v>
      </c>
      <c r="K458" s="17" t="str">
        <f aca="false">TEXT(A458,"dddd")</f>
        <v>Tuesday</v>
      </c>
      <c r="L458" s="17" t="str">
        <f aca="false">IF(AND(A458&gt;=DATE(2014,9,24),A458&lt;=DATE(2014,10,6)),"Promo 1",IF(AND(A458&gt;=DATE(2014,9,10),A458&lt;=DATE(2014,9,23)),"Baseline 1",IF(AND(A458&gt;=DATE(2015,9,23),A458&lt;=DATE(2015,10,6)),"Promo 2",IF(AND(A458&gt;=DATE(2015,9,9),A458&lt;=DATE(2015,9,22)),"Baseline 2",IF(AND(A458&gt;=DATE(2016,6,23),A458&lt;=DATE(2016,7,6)),"Promo 3",IF(AND(A458&gt;=DATE(2016,6,9),A458&lt;=DATE(2016,6,22)),"Baseline 3","Other"))))))</f>
        <v>Other</v>
      </c>
    </row>
    <row r="459" customFormat="false" ht="15" hidden="false" customHeight="true" outlineLevel="0" collapsed="false">
      <c r="A459" s="12" t="n">
        <v>42095</v>
      </c>
      <c r="B459" s="13" t="n">
        <v>498894.343930156</v>
      </c>
      <c r="C459" s="13" t="n">
        <v>542483.835805509</v>
      </c>
      <c r="D459" s="14" t="n">
        <v>13207</v>
      </c>
      <c r="E459" s="15" t="n">
        <f aca="false">B459/D459</f>
        <v>37.7749938616004</v>
      </c>
      <c r="F459" s="15" t="n">
        <f aca="false">C459/D459</f>
        <v>41.0754778379275</v>
      </c>
      <c r="G459" s="13" t="n">
        <f aca="false">B459-C459</f>
        <v>-43589.491875353</v>
      </c>
      <c r="H459" s="16" t="n">
        <f aca="false">G459/B459</f>
        <v>-0.0873721909371965</v>
      </c>
      <c r="I459" s="15" t="n">
        <f aca="false">G459/D459</f>
        <v>-3.30048397632717</v>
      </c>
      <c r="J459" s="16" t="n">
        <f aca="false">I459/E459</f>
        <v>-0.0873721909371965</v>
      </c>
      <c r="K459" s="17" t="str">
        <f aca="false">TEXT(A459,"dddd")</f>
        <v>Wednesday</v>
      </c>
      <c r="L459" s="17" t="str">
        <f aca="false">IF(AND(A459&gt;=DATE(2014,9,24),A459&lt;=DATE(2014,10,6)),"Promo 1",IF(AND(A459&gt;=DATE(2014,9,10),A459&lt;=DATE(2014,9,23)),"Baseline 1",IF(AND(A459&gt;=DATE(2015,9,23),A459&lt;=DATE(2015,10,6)),"Promo 2",IF(AND(A459&gt;=DATE(2015,9,9),A459&lt;=DATE(2015,9,22)),"Baseline 2",IF(AND(A459&gt;=DATE(2016,6,23),A459&lt;=DATE(2016,7,6)),"Promo 3",IF(AND(A459&gt;=DATE(2016,6,9),A459&lt;=DATE(2016,6,22)),"Baseline 3","Other"))))))</f>
        <v>Other</v>
      </c>
    </row>
    <row r="460" customFormat="false" ht="15" hidden="false" customHeight="true" outlineLevel="0" collapsed="false">
      <c r="A460" s="12" t="n">
        <v>42096</v>
      </c>
      <c r="B460" s="13" t="n">
        <v>715032.189870243</v>
      </c>
      <c r="C460" s="13" t="n">
        <v>777522.192751016</v>
      </c>
      <c r="D460" s="14" t="n">
        <v>18936</v>
      </c>
      <c r="E460" s="15" t="n">
        <f aca="false">B460/D460</f>
        <v>37.7604663007099</v>
      </c>
      <c r="F460" s="15" t="n">
        <f aca="false">C460/D460</f>
        <v>41.0605298241981</v>
      </c>
      <c r="G460" s="13" t="n">
        <f aca="false">B460-C460</f>
        <v>-62490.002880773</v>
      </c>
      <c r="H460" s="16" t="n">
        <f aca="false">G460/B460</f>
        <v>-0.087394670849872</v>
      </c>
      <c r="I460" s="15" t="n">
        <f aca="false">G460/D460</f>
        <v>-3.30006352348823</v>
      </c>
      <c r="J460" s="16" t="n">
        <f aca="false">I460/E460</f>
        <v>-0.087394670849872</v>
      </c>
      <c r="K460" s="17" t="str">
        <f aca="false">TEXT(A460,"dddd")</f>
        <v>Thursday</v>
      </c>
      <c r="L460" s="17" t="str">
        <f aca="false">IF(AND(A460&gt;=DATE(2014,9,24),A460&lt;=DATE(2014,10,6)),"Promo 1",IF(AND(A460&gt;=DATE(2014,9,10),A460&lt;=DATE(2014,9,23)),"Baseline 1",IF(AND(A460&gt;=DATE(2015,9,23),A460&lt;=DATE(2015,10,6)),"Promo 2",IF(AND(A460&gt;=DATE(2015,9,9),A460&lt;=DATE(2015,9,22)),"Baseline 2",IF(AND(A460&gt;=DATE(2016,6,23),A460&lt;=DATE(2016,7,6)),"Promo 3",IF(AND(A460&gt;=DATE(2016,6,9),A460&lt;=DATE(2016,6,22)),"Baseline 3","Other"))))))</f>
        <v>Other</v>
      </c>
    </row>
    <row r="461" customFormat="false" ht="15" hidden="false" customHeight="true" outlineLevel="0" collapsed="false">
      <c r="A461" s="12" t="n">
        <v>42097</v>
      </c>
      <c r="B461" s="13" t="n">
        <v>510289.215605129</v>
      </c>
      <c r="C461" s="13" t="n">
        <v>554159.819413427</v>
      </c>
      <c r="D461" s="14" t="n">
        <v>13503</v>
      </c>
      <c r="E461" s="15" t="n">
        <f aca="false">B461/D461</f>
        <v>37.7908031996689</v>
      </c>
      <c r="F461" s="15" t="n">
        <f aca="false">C461/D461</f>
        <v>41.0397555664243</v>
      </c>
      <c r="G461" s="13" t="n">
        <f aca="false">B461-C461</f>
        <v>-43870.603808298</v>
      </c>
      <c r="H461" s="16" t="n">
        <f aca="false">G461/B461</f>
        <v>-0.0859720379476839</v>
      </c>
      <c r="I461" s="15" t="n">
        <f aca="false">G461/D461</f>
        <v>-3.24895236675539</v>
      </c>
      <c r="J461" s="16" t="n">
        <f aca="false">I461/E461</f>
        <v>-0.0859720379476839</v>
      </c>
      <c r="K461" s="17" t="str">
        <f aca="false">TEXT(A461,"dddd")</f>
        <v>Friday</v>
      </c>
      <c r="L461" s="17" t="str">
        <f aca="false">IF(AND(A461&gt;=DATE(2014,9,24),A461&lt;=DATE(2014,10,6)),"Promo 1",IF(AND(A461&gt;=DATE(2014,9,10),A461&lt;=DATE(2014,9,23)),"Baseline 1",IF(AND(A461&gt;=DATE(2015,9,23),A461&lt;=DATE(2015,10,6)),"Promo 2",IF(AND(A461&gt;=DATE(2015,9,9),A461&lt;=DATE(2015,9,22)),"Baseline 2",IF(AND(A461&gt;=DATE(2016,6,23),A461&lt;=DATE(2016,7,6)),"Promo 3",IF(AND(A461&gt;=DATE(2016,6,9),A461&lt;=DATE(2016,6,22)),"Baseline 3","Other"))))))</f>
        <v>Other</v>
      </c>
    </row>
    <row r="462" customFormat="false" ht="15" hidden="false" customHeight="true" outlineLevel="0" collapsed="false">
      <c r="A462" s="12" t="n">
        <v>42098</v>
      </c>
      <c r="B462" s="13" t="n">
        <v>400302.039492411</v>
      </c>
      <c r="C462" s="13" t="n">
        <v>434872.728910346</v>
      </c>
      <c r="D462" s="14" t="n">
        <v>10600</v>
      </c>
      <c r="E462" s="15" t="n">
        <f aca="false">B462/D462</f>
        <v>37.7643433483407</v>
      </c>
      <c r="F462" s="15" t="n">
        <f aca="false">C462/D462</f>
        <v>41.0257291424855</v>
      </c>
      <c r="G462" s="13" t="n">
        <f aca="false">B462-C462</f>
        <v>-34570.689417935</v>
      </c>
      <c r="H462" s="16" t="n">
        <f aca="false">G462/B462</f>
        <v>-0.0863615120766587</v>
      </c>
      <c r="I462" s="15" t="n">
        <f aca="false">G462/D462</f>
        <v>-3.26138579414481</v>
      </c>
      <c r="J462" s="16" t="n">
        <f aca="false">I462/E462</f>
        <v>-0.0863615120766588</v>
      </c>
      <c r="K462" s="17" t="str">
        <f aca="false">TEXT(A462,"dddd")</f>
        <v>Saturday</v>
      </c>
      <c r="L462" s="17" t="str">
        <f aca="false">IF(AND(A462&gt;=DATE(2014,9,24),A462&lt;=DATE(2014,10,6)),"Promo 1",IF(AND(A462&gt;=DATE(2014,9,10),A462&lt;=DATE(2014,9,23)),"Baseline 1",IF(AND(A462&gt;=DATE(2015,9,23),A462&lt;=DATE(2015,10,6)),"Promo 2",IF(AND(A462&gt;=DATE(2015,9,9),A462&lt;=DATE(2015,9,22)),"Baseline 2",IF(AND(A462&gt;=DATE(2016,6,23),A462&lt;=DATE(2016,7,6)),"Promo 3",IF(AND(A462&gt;=DATE(2016,6,9),A462&lt;=DATE(2016,6,22)),"Baseline 3","Other"))))))</f>
        <v>Other</v>
      </c>
    </row>
    <row r="463" customFormat="false" ht="15" hidden="false" customHeight="true" outlineLevel="0" collapsed="false">
      <c r="A463" s="12" t="n">
        <v>42099</v>
      </c>
      <c r="B463" s="13" t="n">
        <v>135578.203445038</v>
      </c>
      <c r="C463" s="13" t="n">
        <v>147335.925053666</v>
      </c>
      <c r="D463" s="14" t="n">
        <v>3591</v>
      </c>
      <c r="E463" s="15" t="n">
        <f aca="false">B463/D463</f>
        <v>37.7549995669836</v>
      </c>
      <c r="F463" s="15" t="n">
        <f aca="false">C463/D463</f>
        <v>41.0292188954793</v>
      </c>
      <c r="G463" s="13" t="n">
        <f aca="false">B463-C463</f>
        <v>-11757.721608628</v>
      </c>
      <c r="H463" s="16" t="n">
        <f aca="false">G463/B463</f>
        <v>-0.0867228013785745</v>
      </c>
      <c r="I463" s="15" t="n">
        <f aca="false">G463/D463</f>
        <v>-3.27421932849568</v>
      </c>
      <c r="J463" s="16" t="n">
        <f aca="false">I463/E463</f>
        <v>-0.0867228013785745</v>
      </c>
      <c r="K463" s="17" t="str">
        <f aca="false">TEXT(A463,"dddd")</f>
        <v>Sunday</v>
      </c>
      <c r="L463" s="17" t="str">
        <f aca="false">IF(AND(A463&gt;=DATE(2014,9,24),A463&lt;=DATE(2014,10,6)),"Promo 1",IF(AND(A463&gt;=DATE(2014,9,10),A463&lt;=DATE(2014,9,23)),"Baseline 1",IF(AND(A463&gt;=DATE(2015,9,23),A463&lt;=DATE(2015,10,6)),"Promo 2",IF(AND(A463&gt;=DATE(2015,9,9),A463&lt;=DATE(2015,9,22)),"Baseline 2",IF(AND(A463&gt;=DATE(2016,6,23),A463&lt;=DATE(2016,7,6)),"Promo 3",IF(AND(A463&gt;=DATE(2016,6,9),A463&lt;=DATE(2016,6,22)),"Baseline 3","Other"))))))</f>
        <v>Other</v>
      </c>
    </row>
    <row r="464" customFormat="false" ht="15" hidden="false" customHeight="true" outlineLevel="0" collapsed="false">
      <c r="A464" s="12" t="n">
        <v>42100</v>
      </c>
      <c r="B464" s="13" t="n">
        <v>182466.25520866</v>
      </c>
      <c r="C464" s="13" t="n">
        <v>198405.229112326</v>
      </c>
      <c r="D464" s="14" t="n">
        <v>4836</v>
      </c>
      <c r="E464" s="15" t="n">
        <f aca="false">B464/D464</f>
        <v>37.730822003445</v>
      </c>
      <c r="F464" s="15" t="n">
        <f aca="false">C464/D464</f>
        <v>41.0267223143768</v>
      </c>
      <c r="G464" s="13" t="n">
        <f aca="false">B464-C464</f>
        <v>-15938.973903666</v>
      </c>
      <c r="H464" s="16" t="n">
        <f aca="false">G464/B464</f>
        <v>-0.08735299513567</v>
      </c>
      <c r="I464" s="15" t="n">
        <f aca="false">G464/D464</f>
        <v>-3.29590031093176</v>
      </c>
      <c r="J464" s="16" t="n">
        <f aca="false">I464/E464</f>
        <v>-0.08735299513567</v>
      </c>
      <c r="K464" s="17" t="str">
        <f aca="false">TEXT(A464,"dddd")</f>
        <v>Monday</v>
      </c>
      <c r="L464" s="17" t="str">
        <f aca="false">IF(AND(A464&gt;=DATE(2014,9,24),A464&lt;=DATE(2014,10,6)),"Promo 1",IF(AND(A464&gt;=DATE(2014,9,10),A464&lt;=DATE(2014,9,23)),"Baseline 1",IF(AND(A464&gt;=DATE(2015,9,23),A464&lt;=DATE(2015,10,6)),"Promo 2",IF(AND(A464&gt;=DATE(2015,9,9),A464&lt;=DATE(2015,9,22)),"Baseline 2",IF(AND(A464&gt;=DATE(2016,6,23),A464&lt;=DATE(2016,7,6)),"Promo 3",IF(AND(A464&gt;=DATE(2016,6,9),A464&lt;=DATE(2016,6,22)),"Baseline 3","Other"))))))</f>
        <v>Other</v>
      </c>
    </row>
    <row r="465" customFormat="false" ht="15" hidden="false" customHeight="true" outlineLevel="0" collapsed="false">
      <c r="A465" s="12" t="n">
        <v>42101</v>
      </c>
      <c r="B465" s="13" t="n">
        <v>176814.20256947</v>
      </c>
      <c r="C465" s="13" t="n">
        <v>178390.149061554</v>
      </c>
      <c r="D465" s="14" t="n">
        <v>4348</v>
      </c>
      <c r="E465" s="15" t="n">
        <f aca="false">B465/D465</f>
        <v>40.6656399653795</v>
      </c>
      <c r="F465" s="15" t="n">
        <f aca="false">C465/D465</f>
        <v>41.028093160431</v>
      </c>
      <c r="G465" s="13" t="n">
        <f aca="false">B465-C465</f>
        <v>-1575.94649208398</v>
      </c>
      <c r="H465" s="16" t="n">
        <f aca="false">G465/B465</f>
        <v>-0.00891300850939729</v>
      </c>
      <c r="I465" s="15" t="n">
        <f aca="false">G465/D465</f>
        <v>-0.362453195051514</v>
      </c>
      <c r="J465" s="16" t="n">
        <f aca="false">I465/E465</f>
        <v>-0.00891300850939729</v>
      </c>
      <c r="K465" s="17" t="str">
        <f aca="false">TEXT(A465,"dddd")</f>
        <v>Tuesday</v>
      </c>
      <c r="L465" s="17" t="str">
        <f aca="false">IF(AND(A465&gt;=DATE(2014,9,24),A465&lt;=DATE(2014,10,6)),"Promo 1",IF(AND(A465&gt;=DATE(2014,9,10),A465&lt;=DATE(2014,9,23)),"Baseline 1",IF(AND(A465&gt;=DATE(2015,9,23),A465&lt;=DATE(2015,10,6)),"Promo 2",IF(AND(A465&gt;=DATE(2015,9,9),A465&lt;=DATE(2015,9,22)),"Baseline 2",IF(AND(A465&gt;=DATE(2016,6,23),A465&lt;=DATE(2016,7,6)),"Promo 3",IF(AND(A465&gt;=DATE(2016,6,9),A465&lt;=DATE(2016,6,22)),"Baseline 3","Other"))))))</f>
        <v>Other</v>
      </c>
    </row>
    <row r="466" customFormat="false" ht="15" hidden="false" customHeight="true" outlineLevel="0" collapsed="false">
      <c r="A466" s="12" t="n">
        <v>42102</v>
      </c>
      <c r="B466" s="13" t="n">
        <v>100917.671565199</v>
      </c>
      <c r="C466" s="13" t="n">
        <v>100579.128948365</v>
      </c>
      <c r="D466" s="14" t="n">
        <v>2451</v>
      </c>
      <c r="E466" s="15" t="n">
        <f aca="false">B466/D466</f>
        <v>41.1740806059563</v>
      </c>
      <c r="F466" s="15" t="n">
        <f aca="false">C466/D466</f>
        <v>41.0359563232823</v>
      </c>
      <c r="G466" s="13" t="n">
        <f aca="false">B466-C466</f>
        <v>338.542616833991</v>
      </c>
      <c r="H466" s="16" t="n">
        <f aca="false">G466/B466</f>
        <v>0.00335464157647823</v>
      </c>
      <c r="I466" s="15" t="n">
        <f aca="false">G466/D466</f>
        <v>0.138124282674007</v>
      </c>
      <c r="J466" s="16" t="n">
        <f aca="false">I466/E466</f>
        <v>0.00335464157647823</v>
      </c>
      <c r="K466" s="17" t="str">
        <f aca="false">TEXT(A466,"dddd")</f>
        <v>Wednesday</v>
      </c>
      <c r="L466" s="17" t="str">
        <f aca="false">IF(AND(A466&gt;=DATE(2014,9,24),A466&lt;=DATE(2014,10,6)),"Promo 1",IF(AND(A466&gt;=DATE(2014,9,10),A466&lt;=DATE(2014,9,23)),"Baseline 1",IF(AND(A466&gt;=DATE(2015,9,23),A466&lt;=DATE(2015,10,6)),"Promo 2",IF(AND(A466&gt;=DATE(2015,9,9),A466&lt;=DATE(2015,9,22)),"Baseline 2",IF(AND(A466&gt;=DATE(2016,6,23),A466&lt;=DATE(2016,7,6)),"Promo 3",IF(AND(A466&gt;=DATE(2016,6,9),A466&lt;=DATE(2016,6,22)),"Baseline 3","Other"))))))</f>
        <v>Other</v>
      </c>
    </row>
    <row r="467" customFormat="false" ht="15" hidden="false" customHeight="true" outlineLevel="0" collapsed="false">
      <c r="A467" s="12" t="n">
        <v>42103</v>
      </c>
      <c r="B467" s="13" t="n">
        <v>74690.6727294505</v>
      </c>
      <c r="C467" s="13" t="n">
        <v>74427.585972184</v>
      </c>
      <c r="D467" s="14" t="n">
        <v>1814</v>
      </c>
      <c r="E467" s="15" t="n">
        <f aca="false">B467/D467</f>
        <v>41.1745715156838</v>
      </c>
      <c r="F467" s="15" t="n">
        <f aca="false">C467/D467</f>
        <v>41.0295402272238</v>
      </c>
      <c r="G467" s="13" t="n">
        <f aca="false">B467-C467</f>
        <v>263.086757266501</v>
      </c>
      <c r="H467" s="16" t="n">
        <f aca="false">G467/B467</f>
        <v>0.00352235088602658</v>
      </c>
      <c r="I467" s="15" t="n">
        <f aca="false">G467/D467</f>
        <v>0.145031288460034</v>
      </c>
      <c r="J467" s="16" t="n">
        <f aca="false">I467/E467</f>
        <v>0.00352235088602658</v>
      </c>
      <c r="K467" s="17" t="str">
        <f aca="false">TEXT(A467,"dddd")</f>
        <v>Thursday</v>
      </c>
      <c r="L467" s="17" t="str">
        <f aca="false">IF(AND(A467&gt;=DATE(2014,9,24),A467&lt;=DATE(2014,10,6)),"Promo 1",IF(AND(A467&gt;=DATE(2014,9,10),A467&lt;=DATE(2014,9,23)),"Baseline 1",IF(AND(A467&gt;=DATE(2015,9,23),A467&lt;=DATE(2015,10,6)),"Promo 2",IF(AND(A467&gt;=DATE(2015,9,9),A467&lt;=DATE(2015,9,22)),"Baseline 2",IF(AND(A467&gt;=DATE(2016,6,23),A467&lt;=DATE(2016,7,6)),"Promo 3",IF(AND(A467&gt;=DATE(2016,6,9),A467&lt;=DATE(2016,6,22)),"Baseline 3","Other"))))))</f>
        <v>Other</v>
      </c>
    </row>
    <row r="468" customFormat="false" ht="15" hidden="false" customHeight="true" outlineLevel="0" collapsed="false">
      <c r="A468" s="12" t="n">
        <v>42104</v>
      </c>
      <c r="B468" s="13" t="n">
        <v>114067.077101728</v>
      </c>
      <c r="C468" s="13" t="n">
        <v>113653.97356322</v>
      </c>
      <c r="D468" s="14" t="n">
        <v>2770</v>
      </c>
      <c r="E468" s="15" t="n">
        <f aca="false">B468/D468</f>
        <v>41.1794502172303</v>
      </c>
      <c r="F468" s="15" t="n">
        <f aca="false">C468/D468</f>
        <v>41.0303153657834</v>
      </c>
      <c r="G468" s="13" t="n">
        <f aca="false">B468-C468</f>
        <v>413.103538508003</v>
      </c>
      <c r="H468" s="16" t="n">
        <f aca="false">G468/B468</f>
        <v>0.00362158432568222</v>
      </c>
      <c r="I468" s="15" t="n">
        <f aca="false">G468/D468</f>
        <v>0.149134851446933</v>
      </c>
      <c r="J468" s="16" t="n">
        <f aca="false">I468/E468</f>
        <v>0.00362158432568222</v>
      </c>
      <c r="K468" s="17" t="str">
        <f aca="false">TEXT(A468,"dddd")</f>
        <v>Friday</v>
      </c>
      <c r="L468" s="17" t="str">
        <f aca="false">IF(AND(A468&gt;=DATE(2014,9,24),A468&lt;=DATE(2014,10,6)),"Promo 1",IF(AND(A468&gt;=DATE(2014,9,10),A468&lt;=DATE(2014,9,23)),"Baseline 1",IF(AND(A468&gt;=DATE(2015,9,23),A468&lt;=DATE(2015,10,6)),"Promo 2",IF(AND(A468&gt;=DATE(2015,9,9),A468&lt;=DATE(2015,9,22)),"Baseline 2",IF(AND(A468&gt;=DATE(2016,6,23),A468&lt;=DATE(2016,7,6)),"Promo 3",IF(AND(A468&gt;=DATE(2016,6,9),A468&lt;=DATE(2016,6,22)),"Baseline 3","Other"))))))</f>
        <v>Other</v>
      </c>
    </row>
    <row r="469" customFormat="false" ht="15" hidden="false" customHeight="true" outlineLevel="0" collapsed="false">
      <c r="A469" s="12" t="n">
        <v>42105</v>
      </c>
      <c r="B469" s="13" t="n">
        <v>126507.800941166</v>
      </c>
      <c r="C469" s="13" t="n">
        <v>126043.769159338</v>
      </c>
      <c r="D469" s="14" t="n">
        <v>3072</v>
      </c>
      <c r="E469" s="15" t="n">
        <f aca="false">B469/D469</f>
        <v>41.1809247855358</v>
      </c>
      <c r="F469" s="15" t="n">
        <f aca="false">C469/D469</f>
        <v>41.029872773222</v>
      </c>
      <c r="G469" s="13" t="n">
        <f aca="false">B469-C469</f>
        <v>464.031781828002</v>
      </c>
      <c r="H469" s="16" t="n">
        <f aca="false">G469/B469</f>
        <v>0.00366800923244097</v>
      </c>
      <c r="I469" s="15" t="n">
        <f aca="false">G469/D469</f>
        <v>0.151052012313803</v>
      </c>
      <c r="J469" s="16" t="n">
        <f aca="false">I469/E469</f>
        <v>0.00366800923244097</v>
      </c>
      <c r="K469" s="17" t="str">
        <f aca="false">TEXT(A469,"dddd")</f>
        <v>Saturday</v>
      </c>
      <c r="L469" s="17" t="str">
        <f aca="false">IF(AND(A469&gt;=DATE(2014,9,24),A469&lt;=DATE(2014,10,6)),"Promo 1",IF(AND(A469&gt;=DATE(2014,9,10),A469&lt;=DATE(2014,9,23)),"Baseline 1",IF(AND(A469&gt;=DATE(2015,9,23),A469&lt;=DATE(2015,10,6)),"Promo 2",IF(AND(A469&gt;=DATE(2015,9,9),A469&lt;=DATE(2015,9,22)),"Baseline 2",IF(AND(A469&gt;=DATE(2016,6,23),A469&lt;=DATE(2016,7,6)),"Promo 3",IF(AND(A469&gt;=DATE(2016,6,9),A469&lt;=DATE(2016,6,22)),"Baseline 3","Other"))))))</f>
        <v>Other</v>
      </c>
    </row>
    <row r="470" customFormat="false" ht="15" hidden="false" customHeight="true" outlineLevel="0" collapsed="false">
      <c r="A470" s="12" t="n">
        <v>42106</v>
      </c>
      <c r="B470" s="13" t="n">
        <v>79648.6293946405</v>
      </c>
      <c r="C470" s="13" t="n">
        <v>79349.4024513427</v>
      </c>
      <c r="D470" s="14" t="n">
        <v>1934</v>
      </c>
      <c r="E470" s="15" t="n">
        <f aca="false">B470/D470</f>
        <v>41.1833657676528</v>
      </c>
      <c r="F470" s="15" t="n">
        <f aca="false">C470/D470</f>
        <v>41.0286465622248</v>
      </c>
      <c r="G470" s="13" t="n">
        <f aca="false">B470-C470</f>
        <v>299.226943297806</v>
      </c>
      <c r="H470" s="16" t="n">
        <f aca="false">G470/B470</f>
        <v>0.0037568373187592</v>
      </c>
      <c r="I470" s="15" t="n">
        <f aca="false">G470/D470</f>
        <v>0.154719205428028</v>
      </c>
      <c r="J470" s="16" t="n">
        <f aca="false">I470/E470</f>
        <v>0.0037568373187592</v>
      </c>
      <c r="K470" s="17" t="str">
        <f aca="false">TEXT(A470,"dddd")</f>
        <v>Sunday</v>
      </c>
      <c r="L470" s="17" t="str">
        <f aca="false">IF(AND(A470&gt;=DATE(2014,9,24),A470&lt;=DATE(2014,10,6)),"Promo 1",IF(AND(A470&gt;=DATE(2014,9,10),A470&lt;=DATE(2014,9,23)),"Baseline 1",IF(AND(A470&gt;=DATE(2015,9,23),A470&lt;=DATE(2015,10,6)),"Promo 2",IF(AND(A470&gt;=DATE(2015,9,9),A470&lt;=DATE(2015,9,22)),"Baseline 2",IF(AND(A470&gt;=DATE(2016,6,23),A470&lt;=DATE(2016,7,6)),"Promo 3",IF(AND(A470&gt;=DATE(2016,6,9),A470&lt;=DATE(2016,6,22)),"Baseline 3","Other"))))))</f>
        <v>Other</v>
      </c>
    </row>
    <row r="471" customFormat="false" ht="15" hidden="false" customHeight="true" outlineLevel="0" collapsed="false">
      <c r="A471" s="12" t="n">
        <v>42107</v>
      </c>
      <c r="B471" s="13" t="n">
        <v>83137.4324275903</v>
      </c>
      <c r="C471" s="13" t="n">
        <v>82700.354170303</v>
      </c>
      <c r="D471" s="14" t="n">
        <v>2019</v>
      </c>
      <c r="E471" s="15" t="n">
        <f aca="false">B471/D471</f>
        <v>41.1775296818179</v>
      </c>
      <c r="F471" s="15" t="n">
        <f aca="false">C471/D471</f>
        <v>40.9610471373467</v>
      </c>
      <c r="G471" s="13" t="n">
        <f aca="false">B471-C471</f>
        <v>437.0782572873</v>
      </c>
      <c r="H471" s="16" t="n">
        <f aca="false">G471/B471</f>
        <v>0.00525729800072884</v>
      </c>
      <c r="I471" s="15" t="n">
        <f aca="false">G471/D471</f>
        <v>0.216482544471174</v>
      </c>
      <c r="J471" s="16" t="n">
        <f aca="false">I471/E471</f>
        <v>0.00525729800072884</v>
      </c>
      <c r="K471" s="17" t="str">
        <f aca="false">TEXT(A471,"dddd")</f>
        <v>Monday</v>
      </c>
      <c r="L471" s="17" t="str">
        <f aca="false">IF(AND(A471&gt;=DATE(2014,9,24),A471&lt;=DATE(2014,10,6)),"Promo 1",IF(AND(A471&gt;=DATE(2014,9,10),A471&lt;=DATE(2014,9,23)),"Baseline 1",IF(AND(A471&gt;=DATE(2015,9,23),A471&lt;=DATE(2015,10,6)),"Promo 2",IF(AND(A471&gt;=DATE(2015,9,9),A471&lt;=DATE(2015,9,22)),"Baseline 2",IF(AND(A471&gt;=DATE(2016,6,23),A471&lt;=DATE(2016,7,6)),"Promo 3",IF(AND(A471&gt;=DATE(2016,6,9),A471&lt;=DATE(2016,6,22)),"Baseline 3","Other"))))))</f>
        <v>Other</v>
      </c>
    </row>
    <row r="472" customFormat="false" ht="15" hidden="false" customHeight="true" outlineLevel="0" collapsed="false">
      <c r="A472" s="12" t="n">
        <v>42108</v>
      </c>
      <c r="B472" s="13" t="n">
        <v>40776.0270616703</v>
      </c>
      <c r="C472" s="13" t="n">
        <v>39940.1995792232</v>
      </c>
      <c r="D472" s="14" t="n">
        <v>979</v>
      </c>
      <c r="E472" s="15" t="n">
        <f aca="false">B472/D472</f>
        <v>41.6506915849543</v>
      </c>
      <c r="F472" s="15" t="n">
        <f aca="false">C472/D472</f>
        <v>40.7969352188184</v>
      </c>
      <c r="G472" s="13" t="n">
        <f aca="false">B472-C472</f>
        <v>835.827482447101</v>
      </c>
      <c r="H472" s="16" t="n">
        <f aca="false">G472/B472</f>
        <v>0.0204980117651723</v>
      </c>
      <c r="I472" s="15" t="n">
        <f aca="false">G472/D472</f>
        <v>0.853756366135956</v>
      </c>
      <c r="J472" s="16" t="n">
        <f aca="false">I472/E472</f>
        <v>0.0204980117651723</v>
      </c>
      <c r="K472" s="17" t="str">
        <f aca="false">TEXT(A472,"dddd")</f>
        <v>Tuesday</v>
      </c>
      <c r="L472" s="17" t="str">
        <f aca="false">IF(AND(A472&gt;=DATE(2014,9,24),A472&lt;=DATE(2014,10,6)),"Promo 1",IF(AND(A472&gt;=DATE(2014,9,10),A472&lt;=DATE(2014,9,23)),"Baseline 1",IF(AND(A472&gt;=DATE(2015,9,23),A472&lt;=DATE(2015,10,6)),"Promo 2",IF(AND(A472&gt;=DATE(2015,9,9),A472&lt;=DATE(2015,9,22)),"Baseline 2",IF(AND(A472&gt;=DATE(2016,6,23),A472&lt;=DATE(2016,7,6)),"Promo 3",IF(AND(A472&gt;=DATE(2016,6,9),A472&lt;=DATE(2016,6,22)),"Baseline 3","Other"))))))</f>
        <v>Other</v>
      </c>
    </row>
    <row r="473" customFormat="false" ht="15" hidden="false" customHeight="true" outlineLevel="0" collapsed="false">
      <c r="A473" s="12" t="n">
        <v>42109</v>
      </c>
      <c r="B473" s="13" t="n">
        <v>58278.4579260504</v>
      </c>
      <c r="C473" s="13" t="n">
        <v>56969.9225942395</v>
      </c>
      <c r="D473" s="14" t="n">
        <v>1398</v>
      </c>
      <c r="E473" s="15" t="n">
        <f aca="false">B473/D473</f>
        <v>41.6870228369459</v>
      </c>
      <c r="F473" s="15" t="n">
        <f aca="false">C473/D473</f>
        <v>40.751017592446</v>
      </c>
      <c r="G473" s="13" t="n">
        <f aca="false">B473-C473</f>
        <v>1308.5353318109</v>
      </c>
      <c r="H473" s="16" t="n">
        <f aca="false">G473/B473</f>
        <v>0.0224531564213883</v>
      </c>
      <c r="I473" s="15" t="n">
        <f aca="false">G473/D473</f>
        <v>0.936005244499932</v>
      </c>
      <c r="J473" s="16" t="n">
        <f aca="false">I473/E473</f>
        <v>0.0224531564213883</v>
      </c>
      <c r="K473" s="17" t="str">
        <f aca="false">TEXT(A473,"dddd")</f>
        <v>Wednesday</v>
      </c>
      <c r="L473" s="17" t="str">
        <f aca="false">IF(AND(A473&gt;=DATE(2014,9,24),A473&lt;=DATE(2014,10,6)),"Promo 1",IF(AND(A473&gt;=DATE(2014,9,10),A473&lt;=DATE(2014,9,23)),"Baseline 1",IF(AND(A473&gt;=DATE(2015,9,23),A473&lt;=DATE(2015,10,6)),"Promo 2",IF(AND(A473&gt;=DATE(2015,9,9),A473&lt;=DATE(2015,9,22)),"Baseline 2",IF(AND(A473&gt;=DATE(2016,6,23),A473&lt;=DATE(2016,7,6)),"Promo 3",IF(AND(A473&gt;=DATE(2016,6,9),A473&lt;=DATE(2016,6,22)),"Baseline 3","Other"))))))</f>
        <v>Other</v>
      </c>
    </row>
    <row r="474" customFormat="false" ht="15" hidden="false" customHeight="true" outlineLevel="0" collapsed="false">
      <c r="A474" s="12" t="n">
        <v>42110</v>
      </c>
      <c r="B474" s="13" t="n">
        <v>50000.1014434202</v>
      </c>
      <c r="C474" s="13" t="n">
        <v>48827.8853811728</v>
      </c>
      <c r="D474" s="14" t="n">
        <v>1198</v>
      </c>
      <c r="E474" s="15" t="n">
        <f aca="false">B474/D474</f>
        <v>41.7363117223875</v>
      </c>
      <c r="F474" s="15" t="n">
        <f aca="false">C474/D474</f>
        <v>40.7578342079907</v>
      </c>
      <c r="G474" s="13" t="n">
        <f aca="false">B474-C474</f>
        <v>1172.2160622474</v>
      </c>
      <c r="H474" s="16" t="n">
        <f aca="false">G474/B474</f>
        <v>0.023444273679602</v>
      </c>
      <c r="I474" s="15" t="n">
        <f aca="false">G474/D474</f>
        <v>0.978477514396831</v>
      </c>
      <c r="J474" s="16" t="n">
        <f aca="false">I474/E474</f>
        <v>0.023444273679602</v>
      </c>
      <c r="K474" s="17" t="str">
        <f aca="false">TEXT(A474,"dddd")</f>
        <v>Thursday</v>
      </c>
      <c r="L474" s="17" t="str">
        <f aca="false">IF(AND(A474&gt;=DATE(2014,9,24),A474&lt;=DATE(2014,10,6)),"Promo 1",IF(AND(A474&gt;=DATE(2014,9,10),A474&lt;=DATE(2014,9,23)),"Baseline 1",IF(AND(A474&gt;=DATE(2015,9,23),A474&lt;=DATE(2015,10,6)),"Promo 2",IF(AND(A474&gt;=DATE(2015,9,9),A474&lt;=DATE(2015,9,22)),"Baseline 2",IF(AND(A474&gt;=DATE(2016,6,23),A474&lt;=DATE(2016,7,6)),"Promo 3",IF(AND(A474&gt;=DATE(2016,6,9),A474&lt;=DATE(2016,6,22)),"Baseline 3","Other"))))))</f>
        <v>Other</v>
      </c>
    </row>
    <row r="475" customFormat="false" ht="15" hidden="false" customHeight="true" outlineLevel="0" collapsed="false">
      <c r="A475" s="12" t="n">
        <v>42111</v>
      </c>
      <c r="B475" s="13" t="n">
        <v>103911.919082128</v>
      </c>
      <c r="C475" s="13" t="n">
        <v>101408.94958672</v>
      </c>
      <c r="D475" s="14" t="n">
        <v>2485</v>
      </c>
      <c r="E475" s="15" t="n">
        <f aca="false">B475/D475</f>
        <v>41.815661602466</v>
      </c>
      <c r="F475" s="15" t="n">
        <f aca="false">C475/D475</f>
        <v>40.8084304171912</v>
      </c>
      <c r="G475" s="13" t="n">
        <f aca="false">B475-C475</f>
        <v>2502.969495408</v>
      </c>
      <c r="H475" s="16" t="n">
        <f aca="false">G475/B475</f>
        <v>0.0240874147789509</v>
      </c>
      <c r="I475" s="15" t="n">
        <f aca="false">G475/D475</f>
        <v>1.00723118527485</v>
      </c>
      <c r="J475" s="16" t="n">
        <f aca="false">I475/E475</f>
        <v>0.0240874147789509</v>
      </c>
      <c r="K475" s="17" t="str">
        <f aca="false">TEXT(A475,"dddd")</f>
        <v>Friday</v>
      </c>
      <c r="L475" s="17" t="str">
        <f aca="false">IF(AND(A475&gt;=DATE(2014,9,24),A475&lt;=DATE(2014,10,6)),"Promo 1",IF(AND(A475&gt;=DATE(2014,9,10),A475&lt;=DATE(2014,9,23)),"Baseline 1",IF(AND(A475&gt;=DATE(2015,9,23),A475&lt;=DATE(2015,10,6)),"Promo 2",IF(AND(A475&gt;=DATE(2015,9,9),A475&lt;=DATE(2015,9,22)),"Baseline 2",IF(AND(A475&gt;=DATE(2016,6,23),A475&lt;=DATE(2016,7,6)),"Promo 3",IF(AND(A475&gt;=DATE(2016,6,9),A475&lt;=DATE(2016,6,22)),"Baseline 3","Other"))))))</f>
        <v>Other</v>
      </c>
    </row>
    <row r="476" customFormat="false" ht="15" hidden="false" customHeight="true" outlineLevel="0" collapsed="false">
      <c r="A476" s="12" t="n">
        <v>42112</v>
      </c>
      <c r="B476" s="13" t="n">
        <v>132843.222616576</v>
      </c>
      <c r="C476" s="13" t="n">
        <v>129545.532123517</v>
      </c>
      <c r="D476" s="14" t="n">
        <v>3172</v>
      </c>
      <c r="E476" s="15" t="n">
        <f aca="false">B476/D476</f>
        <v>41.8799566887062</v>
      </c>
      <c r="F476" s="15" t="n">
        <f aca="false">C476/D476</f>
        <v>40.8403316908944</v>
      </c>
      <c r="G476" s="13" t="n">
        <f aca="false">B476-C476</f>
        <v>3297.69049305901</v>
      </c>
      <c r="H476" s="16" t="n">
        <f aca="false">G476/B476</f>
        <v>0.0248239272437488</v>
      </c>
      <c r="I476" s="15" t="n">
        <f aca="false">G476/D476</f>
        <v>1.03962499781179</v>
      </c>
      <c r="J476" s="16" t="n">
        <f aca="false">I476/E476</f>
        <v>0.0248239272437488</v>
      </c>
      <c r="K476" s="17" t="str">
        <f aca="false">TEXT(A476,"dddd")</f>
        <v>Saturday</v>
      </c>
      <c r="L476" s="17" t="str">
        <f aca="false">IF(AND(A476&gt;=DATE(2014,9,24),A476&lt;=DATE(2014,10,6)),"Promo 1",IF(AND(A476&gt;=DATE(2014,9,10),A476&lt;=DATE(2014,9,23)),"Baseline 1",IF(AND(A476&gt;=DATE(2015,9,23),A476&lt;=DATE(2015,10,6)),"Promo 2",IF(AND(A476&gt;=DATE(2015,9,9),A476&lt;=DATE(2015,9,22)),"Baseline 2",IF(AND(A476&gt;=DATE(2016,6,23),A476&lt;=DATE(2016,7,6)),"Promo 3",IF(AND(A476&gt;=DATE(2016,6,9),A476&lt;=DATE(2016,6,22)),"Baseline 3","Other"))))))</f>
        <v>Other</v>
      </c>
    </row>
    <row r="477" customFormat="false" ht="15" hidden="false" customHeight="true" outlineLevel="0" collapsed="false">
      <c r="A477" s="12" t="n">
        <v>42113</v>
      </c>
      <c r="B477" s="13" t="n">
        <v>62786.61127718</v>
      </c>
      <c r="C477" s="13" t="n">
        <v>61213.2559050666</v>
      </c>
      <c r="D477" s="14" t="n">
        <v>1497</v>
      </c>
      <c r="E477" s="15" t="n">
        <f aca="false">B477/D477</f>
        <v>41.9416240996526</v>
      </c>
      <c r="F477" s="15" t="n">
        <f aca="false">C477/D477</f>
        <v>40.8906185070585</v>
      </c>
      <c r="G477" s="13" t="n">
        <f aca="false">B477-C477</f>
        <v>1573.3553721134</v>
      </c>
      <c r="H477" s="16" t="n">
        <f aca="false">G477/B477</f>
        <v>0.0250587719277859</v>
      </c>
      <c r="I477" s="15" t="n">
        <f aca="false">G477/D477</f>
        <v>1.05100559259412</v>
      </c>
      <c r="J477" s="16" t="n">
        <f aca="false">I477/E477</f>
        <v>0.0250587719277859</v>
      </c>
      <c r="K477" s="17" t="str">
        <f aca="false">TEXT(A477,"dddd")</f>
        <v>Sunday</v>
      </c>
      <c r="L477" s="17" t="str">
        <f aca="false">IF(AND(A477&gt;=DATE(2014,9,24),A477&lt;=DATE(2014,10,6)),"Promo 1",IF(AND(A477&gt;=DATE(2014,9,10),A477&lt;=DATE(2014,9,23)),"Baseline 1",IF(AND(A477&gt;=DATE(2015,9,23),A477&lt;=DATE(2015,10,6)),"Promo 2",IF(AND(A477&gt;=DATE(2015,9,9),A477&lt;=DATE(2015,9,22)),"Baseline 2",IF(AND(A477&gt;=DATE(2016,6,23),A477&lt;=DATE(2016,7,6)),"Promo 3",IF(AND(A477&gt;=DATE(2016,6,9),A477&lt;=DATE(2016,6,22)),"Baseline 3","Other"))))))</f>
        <v>Other</v>
      </c>
    </row>
    <row r="478" customFormat="false" ht="15" hidden="false" customHeight="true" outlineLevel="0" collapsed="false">
      <c r="A478" s="12" t="n">
        <v>42114</v>
      </c>
      <c r="B478" s="13" t="n">
        <v>57233.4066415601</v>
      </c>
      <c r="C478" s="13" t="n">
        <v>55706.8754255965</v>
      </c>
      <c r="D478" s="14" t="n">
        <v>1365</v>
      </c>
      <c r="E478" s="15" t="n">
        <f aca="false">B478/D478</f>
        <v>41.9292356348426</v>
      </c>
      <c r="F478" s="15" t="n">
        <f aca="false">C478/D478</f>
        <v>40.8108977476897</v>
      </c>
      <c r="G478" s="13" t="n">
        <f aca="false">B478-C478</f>
        <v>1526.53121596359</v>
      </c>
      <c r="H478" s="16" t="n">
        <f aca="false">G478/B478</f>
        <v>0.0266720313456774</v>
      </c>
      <c r="I478" s="15" t="n">
        <f aca="false">G478/D478</f>
        <v>1.11833788715282</v>
      </c>
      <c r="J478" s="16" t="n">
        <f aca="false">I478/E478</f>
        <v>0.0266720313456774</v>
      </c>
      <c r="K478" s="17" t="str">
        <f aca="false">TEXT(A478,"dddd")</f>
        <v>Monday</v>
      </c>
      <c r="L478" s="17" t="str">
        <f aca="false">IF(AND(A478&gt;=DATE(2014,9,24),A478&lt;=DATE(2014,10,6)),"Promo 1",IF(AND(A478&gt;=DATE(2014,9,10),A478&lt;=DATE(2014,9,23)),"Baseline 1",IF(AND(A478&gt;=DATE(2015,9,23),A478&lt;=DATE(2015,10,6)),"Promo 2",IF(AND(A478&gt;=DATE(2015,9,9),A478&lt;=DATE(2015,9,22)),"Baseline 2",IF(AND(A478&gt;=DATE(2016,6,23),A478&lt;=DATE(2016,7,6)),"Promo 3",IF(AND(A478&gt;=DATE(2016,6,9),A478&lt;=DATE(2016,6,22)),"Baseline 3","Other"))))))</f>
        <v>Other</v>
      </c>
    </row>
    <row r="479" customFormat="false" ht="15" hidden="false" customHeight="true" outlineLevel="0" collapsed="false">
      <c r="A479" s="12" t="n">
        <v>42115</v>
      </c>
      <c r="B479" s="13" t="n">
        <v>56874.34545501</v>
      </c>
      <c r="C479" s="13" t="n">
        <v>55172.1712255487</v>
      </c>
      <c r="D479" s="14" t="n">
        <v>1353</v>
      </c>
      <c r="E479" s="15" t="n">
        <f aca="false">B479/D479</f>
        <v>42.0357320436142</v>
      </c>
      <c r="F479" s="15" t="n">
        <f aca="false">C479/D479</f>
        <v>40.7776579641897</v>
      </c>
      <c r="G479" s="13" t="n">
        <f aca="false">B479-C479</f>
        <v>1702.1742294613</v>
      </c>
      <c r="H479" s="16" t="n">
        <f aca="false">G479/B479</f>
        <v>0.0299286825341628</v>
      </c>
      <c r="I479" s="15" t="n">
        <f aca="false">G479/D479</f>
        <v>1.25807407942446</v>
      </c>
      <c r="J479" s="16" t="n">
        <f aca="false">I479/E479</f>
        <v>0.0299286825341628</v>
      </c>
      <c r="K479" s="17" t="str">
        <f aca="false">TEXT(A479,"dddd")</f>
        <v>Tuesday</v>
      </c>
      <c r="L479" s="17" t="str">
        <f aca="false">IF(AND(A479&gt;=DATE(2014,9,24),A479&lt;=DATE(2014,10,6)),"Promo 1",IF(AND(A479&gt;=DATE(2014,9,10),A479&lt;=DATE(2014,9,23)),"Baseline 1",IF(AND(A479&gt;=DATE(2015,9,23),A479&lt;=DATE(2015,10,6)),"Promo 2",IF(AND(A479&gt;=DATE(2015,9,9),A479&lt;=DATE(2015,9,22)),"Baseline 2",IF(AND(A479&gt;=DATE(2016,6,23),A479&lt;=DATE(2016,7,6)),"Promo 3",IF(AND(A479&gt;=DATE(2016,6,9),A479&lt;=DATE(2016,6,22)),"Baseline 3","Other"))))))</f>
        <v>Other</v>
      </c>
    </row>
    <row r="480" customFormat="false" ht="15" hidden="false" customHeight="true" outlineLevel="0" collapsed="false">
      <c r="A480" s="12" t="n">
        <v>42116</v>
      </c>
      <c r="B480" s="13" t="n">
        <v>132737.737016899</v>
      </c>
      <c r="C480" s="13" t="n">
        <v>140263.930102392</v>
      </c>
      <c r="D480" s="14" t="n">
        <v>3439</v>
      </c>
      <c r="E480" s="15" t="n">
        <f aca="false">B480/D480</f>
        <v>38.5977717408837</v>
      </c>
      <c r="F480" s="15" t="n">
        <f aca="false">C480/D480</f>
        <v>40.7862547549846</v>
      </c>
      <c r="G480" s="13" t="n">
        <f aca="false">B480-C480</f>
        <v>-7526.19308549303</v>
      </c>
      <c r="H480" s="16" t="n">
        <f aca="false">G480/B480</f>
        <v>-0.0566997242429623</v>
      </c>
      <c r="I480" s="15" t="n">
        <f aca="false">G480/D480</f>
        <v>-2.18848301410091</v>
      </c>
      <c r="J480" s="16" t="n">
        <f aca="false">I480/E480</f>
        <v>-0.0566997242429623</v>
      </c>
      <c r="K480" s="17" t="str">
        <f aca="false">TEXT(A480,"dddd")</f>
        <v>Wednesday</v>
      </c>
      <c r="L480" s="17" t="str">
        <f aca="false">IF(AND(A480&gt;=DATE(2014,9,24),A480&lt;=DATE(2014,10,6)),"Promo 1",IF(AND(A480&gt;=DATE(2014,9,10),A480&lt;=DATE(2014,9,23)),"Baseline 1",IF(AND(A480&gt;=DATE(2015,9,23),A480&lt;=DATE(2015,10,6)),"Promo 2",IF(AND(A480&gt;=DATE(2015,9,9),A480&lt;=DATE(2015,9,22)),"Baseline 2",IF(AND(A480&gt;=DATE(2016,6,23),A480&lt;=DATE(2016,7,6)),"Promo 3",IF(AND(A480&gt;=DATE(2016,6,9),A480&lt;=DATE(2016,6,22)),"Baseline 3","Other"))))))</f>
        <v>Other</v>
      </c>
    </row>
    <row r="481" customFormat="false" ht="15" hidden="false" customHeight="true" outlineLevel="0" collapsed="false">
      <c r="A481" s="12" t="n">
        <v>42117</v>
      </c>
      <c r="B481" s="13" t="n">
        <v>60310.33894812</v>
      </c>
      <c r="C481" s="13" t="n">
        <v>58446.0549299014</v>
      </c>
      <c r="D481" s="14" t="n">
        <v>1434</v>
      </c>
      <c r="E481" s="15" t="n">
        <f aca="false">B481/D481</f>
        <v>42.0574190712134</v>
      </c>
      <c r="F481" s="15" t="n">
        <f aca="false">C481/D481</f>
        <v>40.7573604811028</v>
      </c>
      <c r="G481" s="13" t="n">
        <f aca="false">B481-C481</f>
        <v>1864.2840182186</v>
      </c>
      <c r="H481" s="16" t="n">
        <f aca="false">G481/B481</f>
        <v>0.0309115161800415</v>
      </c>
      <c r="I481" s="15" t="n">
        <f aca="false">G481/D481</f>
        <v>1.3000585901106</v>
      </c>
      <c r="J481" s="16" t="n">
        <f aca="false">I481/E481</f>
        <v>0.0309115161800415</v>
      </c>
      <c r="K481" s="17" t="str">
        <f aca="false">TEXT(A481,"dddd")</f>
        <v>Thursday</v>
      </c>
      <c r="L481" s="17" t="str">
        <f aca="false">IF(AND(A481&gt;=DATE(2014,9,24),A481&lt;=DATE(2014,10,6)),"Promo 1",IF(AND(A481&gt;=DATE(2014,9,10),A481&lt;=DATE(2014,9,23)),"Baseline 1",IF(AND(A481&gt;=DATE(2015,9,23),A481&lt;=DATE(2015,10,6)),"Promo 2",IF(AND(A481&gt;=DATE(2015,9,9),A481&lt;=DATE(2015,9,22)),"Baseline 2",IF(AND(A481&gt;=DATE(2016,6,23),A481&lt;=DATE(2016,7,6)),"Promo 3",IF(AND(A481&gt;=DATE(2016,6,9),A481&lt;=DATE(2016,6,22)),"Baseline 3","Other"))))))</f>
        <v>Other</v>
      </c>
    </row>
    <row r="482" customFormat="false" ht="15" hidden="false" customHeight="true" outlineLevel="0" collapsed="false">
      <c r="A482" s="12" t="n">
        <v>42118</v>
      </c>
      <c r="B482" s="13" t="n">
        <v>343587.008478719</v>
      </c>
      <c r="C482" s="13" t="n">
        <v>362390.596041908</v>
      </c>
      <c r="D482" s="14" t="n">
        <v>8892</v>
      </c>
      <c r="E482" s="15" t="n">
        <f aca="false">B482/D482</f>
        <v>38.6400144487988</v>
      </c>
      <c r="F482" s="15" t="n">
        <f aca="false">C482/D482</f>
        <v>40.7546779174435</v>
      </c>
      <c r="G482" s="13" t="n">
        <f aca="false">B482-C482</f>
        <v>-18803.587563189</v>
      </c>
      <c r="H482" s="16" t="n">
        <f aca="false">G482/B482</f>
        <v>-0.0547272949767357</v>
      </c>
      <c r="I482" s="15" t="n">
        <f aca="false">G482/D482</f>
        <v>-2.11466346864474</v>
      </c>
      <c r="J482" s="16" t="n">
        <f aca="false">I482/E482</f>
        <v>-0.0547272949767357</v>
      </c>
      <c r="K482" s="17" t="str">
        <f aca="false">TEXT(A482,"dddd")</f>
        <v>Friday</v>
      </c>
      <c r="L482" s="17" t="str">
        <f aca="false">IF(AND(A482&gt;=DATE(2014,9,24),A482&lt;=DATE(2014,10,6)),"Promo 1",IF(AND(A482&gt;=DATE(2014,9,10),A482&lt;=DATE(2014,9,23)),"Baseline 1",IF(AND(A482&gt;=DATE(2015,9,23),A482&lt;=DATE(2015,10,6)),"Promo 2",IF(AND(A482&gt;=DATE(2015,9,9),A482&lt;=DATE(2015,9,22)),"Baseline 2",IF(AND(A482&gt;=DATE(2016,6,23),A482&lt;=DATE(2016,7,6)),"Promo 3",IF(AND(A482&gt;=DATE(2016,6,9),A482&lt;=DATE(2016,6,22)),"Baseline 3","Other"))))))</f>
        <v>Other</v>
      </c>
    </row>
    <row r="483" customFormat="false" ht="15" hidden="false" customHeight="true" outlineLevel="0" collapsed="false">
      <c r="A483" s="12" t="n">
        <v>42119</v>
      </c>
      <c r="B483" s="13" t="n">
        <v>496882.315023703</v>
      </c>
      <c r="C483" s="13" t="n">
        <v>535306.009870188</v>
      </c>
      <c r="D483" s="14" t="n">
        <v>13144</v>
      </c>
      <c r="E483" s="15" t="n">
        <f aca="false">B483/D483</f>
        <v>37.8029758843353</v>
      </c>
      <c r="F483" s="15" t="n">
        <f aca="false">C483/D483</f>
        <v>40.7262636845852</v>
      </c>
      <c r="G483" s="13" t="n">
        <f aca="false">B483-C483</f>
        <v>-38423.694846485</v>
      </c>
      <c r="H483" s="16" t="n">
        <f aca="false">G483/B483</f>
        <v>-0.0773295681587139</v>
      </c>
      <c r="I483" s="15" t="n">
        <f aca="false">G483/D483</f>
        <v>-2.92328780024992</v>
      </c>
      <c r="J483" s="16" t="n">
        <f aca="false">I483/E483</f>
        <v>-0.0773295681587139</v>
      </c>
      <c r="K483" s="17" t="str">
        <f aca="false">TEXT(A483,"dddd")</f>
        <v>Saturday</v>
      </c>
      <c r="L483" s="17" t="str">
        <f aca="false">IF(AND(A483&gt;=DATE(2014,9,24),A483&lt;=DATE(2014,10,6)),"Promo 1",IF(AND(A483&gt;=DATE(2014,9,10),A483&lt;=DATE(2014,9,23)),"Baseline 1",IF(AND(A483&gt;=DATE(2015,9,23),A483&lt;=DATE(2015,10,6)),"Promo 2",IF(AND(A483&gt;=DATE(2015,9,9),A483&lt;=DATE(2015,9,22)),"Baseline 2",IF(AND(A483&gt;=DATE(2016,6,23),A483&lt;=DATE(2016,7,6)),"Promo 3",IF(AND(A483&gt;=DATE(2016,6,9),A483&lt;=DATE(2016,6,22)),"Baseline 3","Other"))))))</f>
        <v>Other</v>
      </c>
    </row>
    <row r="484" customFormat="false" ht="15" hidden="false" customHeight="true" outlineLevel="0" collapsed="false">
      <c r="A484" s="12" t="n">
        <v>42120</v>
      </c>
      <c r="B484" s="13" t="n">
        <v>200369.829861661</v>
      </c>
      <c r="C484" s="13" t="n">
        <v>210964.768086997</v>
      </c>
      <c r="D484" s="14" t="n">
        <v>5179</v>
      </c>
      <c r="E484" s="15" t="n">
        <f aca="false">B484/D484</f>
        <v>38.6889032364667</v>
      </c>
      <c r="F484" s="15" t="n">
        <f aca="false">C484/D484</f>
        <v>40.7346530386169</v>
      </c>
      <c r="G484" s="13" t="n">
        <f aca="false">B484-C484</f>
        <v>-10594.938225336</v>
      </c>
      <c r="H484" s="16" t="n">
        <f aca="false">G484/B484</f>
        <v>-0.052876913818068</v>
      </c>
      <c r="I484" s="15" t="n">
        <f aca="false">G484/D484</f>
        <v>-2.04574980215022</v>
      </c>
      <c r="J484" s="16" t="n">
        <f aca="false">I484/E484</f>
        <v>-0.052876913818068</v>
      </c>
      <c r="K484" s="17" t="str">
        <f aca="false">TEXT(A484,"dddd")</f>
        <v>Sunday</v>
      </c>
      <c r="L484" s="17" t="str">
        <f aca="false">IF(AND(A484&gt;=DATE(2014,9,24),A484&lt;=DATE(2014,10,6)),"Promo 1",IF(AND(A484&gt;=DATE(2014,9,10),A484&lt;=DATE(2014,9,23)),"Baseline 1",IF(AND(A484&gt;=DATE(2015,9,23),A484&lt;=DATE(2015,10,6)),"Promo 2",IF(AND(A484&gt;=DATE(2015,9,9),A484&lt;=DATE(2015,9,22)),"Baseline 2",IF(AND(A484&gt;=DATE(2016,6,23),A484&lt;=DATE(2016,7,6)),"Promo 3",IF(AND(A484&gt;=DATE(2016,6,9),A484&lt;=DATE(2016,6,22)),"Baseline 3","Other"))))))</f>
        <v>Other</v>
      </c>
    </row>
    <row r="485" customFormat="false" ht="15" hidden="false" customHeight="true" outlineLevel="0" collapsed="false">
      <c r="A485" s="12" t="n">
        <v>42121</v>
      </c>
      <c r="B485" s="13" t="n">
        <v>194028.061819216</v>
      </c>
      <c r="C485" s="13" t="n">
        <v>204053.498934647</v>
      </c>
      <c r="D485" s="14" t="n">
        <v>5014</v>
      </c>
      <c r="E485" s="15" t="n">
        <f aca="false">B485/D485</f>
        <v>38.6972600357431</v>
      </c>
      <c r="F485" s="15" t="n">
        <f aca="false">C485/D485</f>
        <v>40.6967488900373</v>
      </c>
      <c r="G485" s="13" t="n">
        <f aca="false">B485-C485</f>
        <v>-10025.437115431</v>
      </c>
      <c r="H485" s="16" t="n">
        <f aca="false">G485/B485</f>
        <v>-0.0516700369082289</v>
      </c>
      <c r="I485" s="15" t="n">
        <f aca="false">G485/D485</f>
        <v>-1.99948885429418</v>
      </c>
      <c r="J485" s="16" t="n">
        <f aca="false">I485/E485</f>
        <v>-0.0516700369082289</v>
      </c>
      <c r="K485" s="17" t="str">
        <f aca="false">TEXT(A485,"dddd")</f>
        <v>Monday</v>
      </c>
      <c r="L485" s="17" t="str">
        <f aca="false">IF(AND(A485&gt;=DATE(2014,9,24),A485&lt;=DATE(2014,10,6)),"Promo 1",IF(AND(A485&gt;=DATE(2014,9,10),A485&lt;=DATE(2014,9,23)),"Baseline 1",IF(AND(A485&gt;=DATE(2015,9,23),A485&lt;=DATE(2015,10,6)),"Promo 2",IF(AND(A485&gt;=DATE(2015,9,9),A485&lt;=DATE(2015,9,22)),"Baseline 2",IF(AND(A485&gt;=DATE(2016,6,23),A485&lt;=DATE(2016,7,6)),"Promo 3",IF(AND(A485&gt;=DATE(2016,6,9),A485&lt;=DATE(2016,6,22)),"Baseline 3","Other"))))))</f>
        <v>Other</v>
      </c>
    </row>
    <row r="486" customFormat="false" ht="15" hidden="false" customHeight="true" outlineLevel="0" collapsed="false">
      <c r="A486" s="12" t="n">
        <v>42122</v>
      </c>
      <c r="B486" s="13" t="n">
        <v>190560.579181832</v>
      </c>
      <c r="C486" s="13" t="n">
        <v>200804.0368451</v>
      </c>
      <c r="D486" s="14" t="n">
        <v>4936</v>
      </c>
      <c r="E486" s="15" t="n">
        <f aca="false">B486/D486</f>
        <v>38.6062761713598</v>
      </c>
      <c r="F486" s="15" t="n">
        <f aca="false">C486/D486</f>
        <v>40.6815309653768</v>
      </c>
      <c r="G486" s="13" t="n">
        <f aca="false">B486-C486</f>
        <v>-10243.457663268</v>
      </c>
      <c r="H486" s="16" t="n">
        <f aca="false">G486/B486</f>
        <v>-0.0537543373726511</v>
      </c>
      <c r="I486" s="15" t="n">
        <f aca="false">G486/D486</f>
        <v>-2.07525479401702</v>
      </c>
      <c r="J486" s="16" t="n">
        <f aca="false">I486/E486</f>
        <v>-0.0537543373726511</v>
      </c>
      <c r="K486" s="17" t="str">
        <f aca="false">TEXT(A486,"dddd")</f>
        <v>Tuesday</v>
      </c>
      <c r="L486" s="17" t="str">
        <f aca="false">IF(AND(A486&gt;=DATE(2014,9,24),A486&lt;=DATE(2014,10,6)),"Promo 1",IF(AND(A486&gt;=DATE(2014,9,10),A486&lt;=DATE(2014,9,23)),"Baseline 1",IF(AND(A486&gt;=DATE(2015,9,23),A486&lt;=DATE(2015,10,6)),"Promo 2",IF(AND(A486&gt;=DATE(2015,9,9),A486&lt;=DATE(2015,9,22)),"Baseline 2",IF(AND(A486&gt;=DATE(2016,6,23),A486&lt;=DATE(2016,7,6)),"Promo 3",IF(AND(A486&gt;=DATE(2016,6,9),A486&lt;=DATE(2016,6,22)),"Baseline 3","Other"))))))</f>
        <v>Other</v>
      </c>
    </row>
    <row r="487" customFormat="false" ht="15" hidden="false" customHeight="true" outlineLevel="0" collapsed="false">
      <c r="A487" s="12" t="n">
        <v>42123</v>
      </c>
      <c r="B487" s="13" t="n">
        <v>198985.399622612</v>
      </c>
      <c r="C487" s="13" t="n">
        <v>209483.875808773</v>
      </c>
      <c r="D487" s="14" t="n">
        <v>5150</v>
      </c>
      <c r="E487" s="15" t="n">
        <f aca="false">B487/D487</f>
        <v>38.6379416742936</v>
      </c>
      <c r="F487" s="15" t="n">
        <f aca="false">C487/D487</f>
        <v>40.6764807395676</v>
      </c>
      <c r="G487" s="13" t="n">
        <f aca="false">B487-C487</f>
        <v>-10498.476186161</v>
      </c>
      <c r="H487" s="16" t="n">
        <f aca="false">G487/B487</f>
        <v>-0.0527600326761261</v>
      </c>
      <c r="I487" s="15" t="n">
        <f aca="false">G487/D487</f>
        <v>-2.03853906527398</v>
      </c>
      <c r="J487" s="16" t="n">
        <f aca="false">I487/E487</f>
        <v>-0.0527600326761261</v>
      </c>
      <c r="K487" s="17" t="str">
        <f aca="false">TEXT(A487,"dddd")</f>
        <v>Wednesday</v>
      </c>
      <c r="L487" s="17" t="str">
        <f aca="false">IF(AND(A487&gt;=DATE(2014,9,24),A487&lt;=DATE(2014,10,6)),"Promo 1",IF(AND(A487&gt;=DATE(2014,9,10),A487&lt;=DATE(2014,9,23)),"Baseline 1",IF(AND(A487&gt;=DATE(2015,9,23),A487&lt;=DATE(2015,10,6)),"Promo 2",IF(AND(A487&gt;=DATE(2015,9,9),A487&lt;=DATE(2015,9,22)),"Baseline 2",IF(AND(A487&gt;=DATE(2016,6,23),A487&lt;=DATE(2016,7,6)),"Promo 3",IF(AND(A487&gt;=DATE(2016,6,9),A487&lt;=DATE(2016,6,22)),"Baseline 3","Other"))))))</f>
        <v>Other</v>
      </c>
    </row>
    <row r="488" customFormat="false" ht="15" hidden="false" customHeight="true" outlineLevel="0" collapsed="false">
      <c r="A488" s="12" t="n">
        <v>42124</v>
      </c>
      <c r="B488" s="13" t="n">
        <v>385482.872025708</v>
      </c>
      <c r="C488" s="13" t="n">
        <v>406252.007593416</v>
      </c>
      <c r="D488" s="14" t="n">
        <v>9986</v>
      </c>
      <c r="E488" s="15" t="n">
        <f aca="false">B488/D488</f>
        <v>38.6023304652221</v>
      </c>
      <c r="F488" s="15" t="n">
        <f aca="false">C488/D488</f>
        <v>40.68215577743</v>
      </c>
      <c r="G488" s="13" t="n">
        <f aca="false">B488-C488</f>
        <v>-20769.135567708</v>
      </c>
      <c r="H488" s="16" t="n">
        <f aca="false">G488/B488</f>
        <v>-0.053878231887623</v>
      </c>
      <c r="I488" s="15" t="n">
        <f aca="false">G488/D488</f>
        <v>-2.07982531220789</v>
      </c>
      <c r="J488" s="16" t="n">
        <f aca="false">I488/E488</f>
        <v>-0.053878231887623</v>
      </c>
      <c r="K488" s="17" t="str">
        <f aca="false">TEXT(A488,"dddd")</f>
        <v>Thursday</v>
      </c>
      <c r="L488" s="17" t="str">
        <f aca="false">IF(AND(A488&gt;=DATE(2014,9,24),A488&lt;=DATE(2014,10,6)),"Promo 1",IF(AND(A488&gt;=DATE(2014,9,10),A488&lt;=DATE(2014,9,23)),"Baseline 1",IF(AND(A488&gt;=DATE(2015,9,23),A488&lt;=DATE(2015,10,6)),"Promo 2",IF(AND(A488&gt;=DATE(2015,9,9),A488&lt;=DATE(2015,9,22)),"Baseline 2",IF(AND(A488&gt;=DATE(2016,6,23),A488&lt;=DATE(2016,7,6)),"Promo 3",IF(AND(A488&gt;=DATE(2016,6,9),A488&lt;=DATE(2016,6,22)),"Baseline 3","Other"))))))</f>
        <v>Other</v>
      </c>
    </row>
    <row r="489" customFormat="false" ht="15" hidden="false" customHeight="true" outlineLevel="0" collapsed="false">
      <c r="A489" s="12" t="n">
        <v>42125</v>
      </c>
      <c r="B489" s="13" t="n">
        <v>499703.41471803</v>
      </c>
      <c r="C489" s="13" t="n">
        <v>526206.937172217</v>
      </c>
      <c r="D489" s="14" t="n">
        <v>12937</v>
      </c>
      <c r="E489" s="15" t="n">
        <f aca="false">B489/D489</f>
        <v>38.6259113177731</v>
      </c>
      <c r="F489" s="15" t="n">
        <f aca="false">C489/D489</f>
        <v>40.674571938797</v>
      </c>
      <c r="G489" s="13" t="n">
        <f aca="false">B489-C489</f>
        <v>-26503.5224541869</v>
      </c>
      <c r="H489" s="16" t="n">
        <f aca="false">G489/B489</f>
        <v>-0.0530385057887631</v>
      </c>
      <c r="I489" s="15" t="n">
        <f aca="false">G489/D489</f>
        <v>-2.04866062102396</v>
      </c>
      <c r="J489" s="16" t="n">
        <f aca="false">I489/E489</f>
        <v>-0.0530385057887631</v>
      </c>
      <c r="K489" s="17" t="str">
        <f aca="false">TEXT(A489,"dddd")</f>
        <v>Friday</v>
      </c>
      <c r="L489" s="17" t="str">
        <f aca="false">IF(AND(A489&gt;=DATE(2014,9,24),A489&lt;=DATE(2014,10,6)),"Promo 1",IF(AND(A489&gt;=DATE(2014,9,10),A489&lt;=DATE(2014,9,23)),"Baseline 1",IF(AND(A489&gt;=DATE(2015,9,23),A489&lt;=DATE(2015,10,6)),"Promo 2",IF(AND(A489&gt;=DATE(2015,9,9),A489&lt;=DATE(2015,9,22)),"Baseline 2",IF(AND(A489&gt;=DATE(2016,6,23),A489&lt;=DATE(2016,7,6)),"Promo 3",IF(AND(A489&gt;=DATE(2016,6,9),A489&lt;=DATE(2016,6,22)),"Baseline 3","Other"))))))</f>
        <v>Other</v>
      </c>
    </row>
    <row r="490" customFormat="false" ht="15" hidden="false" customHeight="true" outlineLevel="0" collapsed="false">
      <c r="A490" s="12" t="n">
        <v>42126</v>
      </c>
      <c r="B490" s="13" t="n">
        <v>461667.003881013</v>
      </c>
      <c r="C490" s="13" t="n">
        <v>496852.801993076</v>
      </c>
      <c r="D490" s="14" t="n">
        <v>12217</v>
      </c>
      <c r="E490" s="15" t="n">
        <f aca="false">B490/D490</f>
        <v>37.7889010297956</v>
      </c>
      <c r="F490" s="15" t="n">
        <f aca="false">C490/D490</f>
        <v>40.6689696319126</v>
      </c>
      <c r="G490" s="13" t="n">
        <f aca="false">B490-C490</f>
        <v>-35185.798112063</v>
      </c>
      <c r="H490" s="16" t="n">
        <f aca="false">G490/B490</f>
        <v>-0.0762146694831401</v>
      </c>
      <c r="I490" s="15" t="n">
        <f aca="false">G490/D490</f>
        <v>-2.88006860211697</v>
      </c>
      <c r="J490" s="16" t="n">
        <f aca="false">I490/E490</f>
        <v>-0.0762146694831401</v>
      </c>
      <c r="K490" s="17" t="str">
        <f aca="false">TEXT(A490,"dddd")</f>
        <v>Saturday</v>
      </c>
      <c r="L490" s="17" t="str">
        <f aca="false">IF(AND(A490&gt;=DATE(2014,9,24),A490&lt;=DATE(2014,10,6)),"Promo 1",IF(AND(A490&gt;=DATE(2014,9,10),A490&lt;=DATE(2014,9,23)),"Baseline 1",IF(AND(A490&gt;=DATE(2015,9,23),A490&lt;=DATE(2015,10,6)),"Promo 2",IF(AND(A490&gt;=DATE(2015,9,9),A490&lt;=DATE(2015,9,22)),"Baseline 2",IF(AND(A490&gt;=DATE(2016,6,23),A490&lt;=DATE(2016,7,6)),"Promo 3",IF(AND(A490&gt;=DATE(2016,6,9),A490&lt;=DATE(2016,6,22)),"Baseline 3","Other"))))))</f>
        <v>Other</v>
      </c>
    </row>
    <row r="491" customFormat="false" ht="15" hidden="false" customHeight="true" outlineLevel="0" collapsed="false">
      <c r="A491" s="12" t="n">
        <v>42127</v>
      </c>
      <c r="B491" s="13" t="n">
        <v>259541.608721514</v>
      </c>
      <c r="C491" s="13" t="n">
        <v>273280.046370405</v>
      </c>
      <c r="D491" s="14" t="n">
        <v>6721</v>
      </c>
      <c r="E491" s="15" t="n">
        <f aca="false">B491/D491</f>
        <v>38.6165166971454</v>
      </c>
      <c r="F491" s="15" t="n">
        <f aca="false">C491/D491</f>
        <v>40.6606228790961</v>
      </c>
      <c r="G491" s="13" t="n">
        <f aca="false">B491-C491</f>
        <v>-13738.437648891</v>
      </c>
      <c r="H491" s="16" t="n">
        <f aca="false">G491/B491</f>
        <v>-0.0529334688051203</v>
      </c>
      <c r="I491" s="15" t="n">
        <f aca="false">G491/D491</f>
        <v>-2.04410618195075</v>
      </c>
      <c r="J491" s="16" t="n">
        <f aca="false">I491/E491</f>
        <v>-0.0529334688051203</v>
      </c>
      <c r="K491" s="17" t="str">
        <f aca="false">TEXT(A491,"dddd")</f>
        <v>Sunday</v>
      </c>
      <c r="L491" s="17" t="str">
        <f aca="false">IF(AND(A491&gt;=DATE(2014,9,24),A491&lt;=DATE(2014,10,6)),"Promo 1",IF(AND(A491&gt;=DATE(2014,9,10),A491&lt;=DATE(2014,9,23)),"Baseline 1",IF(AND(A491&gt;=DATE(2015,9,23),A491&lt;=DATE(2015,10,6)),"Promo 2",IF(AND(A491&gt;=DATE(2015,9,9),A491&lt;=DATE(2015,9,22)),"Baseline 2",IF(AND(A491&gt;=DATE(2016,6,23),A491&lt;=DATE(2016,7,6)),"Promo 3",IF(AND(A491&gt;=DATE(2016,6,9),A491&lt;=DATE(2016,6,22)),"Baseline 3","Other"))))))</f>
        <v>Other</v>
      </c>
    </row>
    <row r="492" customFormat="false" ht="15" hidden="false" customHeight="true" outlineLevel="0" collapsed="false">
      <c r="A492" s="12" t="n">
        <v>42128</v>
      </c>
      <c r="B492" s="13" t="n">
        <v>320309.274401587</v>
      </c>
      <c r="C492" s="13" t="n">
        <v>336742.602365386</v>
      </c>
      <c r="D492" s="14" t="n">
        <v>8283</v>
      </c>
      <c r="E492" s="15" t="n">
        <f aca="false">B492/D492</f>
        <v>38.670683858697</v>
      </c>
      <c r="F492" s="15" t="n">
        <f aca="false">C492/D492</f>
        <v>40.654666469321</v>
      </c>
      <c r="G492" s="13" t="n">
        <f aca="false">B492-C492</f>
        <v>-16433.3279637989</v>
      </c>
      <c r="H492" s="16" t="n">
        <f aca="false">G492/B492</f>
        <v>-0.0513045649224496</v>
      </c>
      <c r="I492" s="15" t="n">
        <f aca="false">G492/D492</f>
        <v>-1.98398261062404</v>
      </c>
      <c r="J492" s="16" t="n">
        <f aca="false">I492/E492</f>
        <v>-0.0513045649224496</v>
      </c>
      <c r="K492" s="17" t="str">
        <f aca="false">TEXT(A492,"dddd")</f>
        <v>Monday</v>
      </c>
      <c r="L492" s="17" t="str">
        <f aca="false">IF(AND(A492&gt;=DATE(2014,9,24),A492&lt;=DATE(2014,10,6)),"Promo 1",IF(AND(A492&gt;=DATE(2014,9,10),A492&lt;=DATE(2014,9,23)),"Baseline 1",IF(AND(A492&gt;=DATE(2015,9,23),A492&lt;=DATE(2015,10,6)),"Promo 2",IF(AND(A492&gt;=DATE(2015,9,9),A492&lt;=DATE(2015,9,22)),"Baseline 2",IF(AND(A492&gt;=DATE(2016,6,23),A492&lt;=DATE(2016,7,6)),"Promo 3",IF(AND(A492&gt;=DATE(2016,6,9),A492&lt;=DATE(2016,6,22)),"Baseline 3","Other"))))))</f>
        <v>Other</v>
      </c>
    </row>
    <row r="493" customFormat="false" ht="15" hidden="false" customHeight="true" outlineLevel="0" collapsed="false">
      <c r="A493" s="12" t="n">
        <v>42129</v>
      </c>
      <c r="B493" s="13" t="n">
        <v>239922.99815095</v>
      </c>
      <c r="C493" s="13" t="n">
        <v>251700.966401202</v>
      </c>
      <c r="D493" s="14" t="n">
        <v>6191</v>
      </c>
      <c r="E493" s="15" t="n">
        <f aca="false">B493/D493</f>
        <v>38.7535128656033</v>
      </c>
      <c r="F493" s="15" t="n">
        <f aca="false">C493/D493</f>
        <v>40.655946761622</v>
      </c>
      <c r="G493" s="13" t="n">
        <f aca="false">B493-C493</f>
        <v>-11777.968250252</v>
      </c>
      <c r="H493" s="16" t="n">
        <f aca="false">G493/B493</f>
        <v>-0.0490906179942023</v>
      </c>
      <c r="I493" s="15" t="n">
        <f aca="false">G493/D493</f>
        <v>-1.90243389601873</v>
      </c>
      <c r="J493" s="16" t="n">
        <f aca="false">I493/E493</f>
        <v>-0.0490906179942023</v>
      </c>
      <c r="K493" s="17" t="str">
        <f aca="false">TEXT(A493,"dddd")</f>
        <v>Tuesday</v>
      </c>
      <c r="L493" s="17" t="str">
        <f aca="false">IF(AND(A493&gt;=DATE(2014,9,24),A493&lt;=DATE(2014,10,6)),"Promo 1",IF(AND(A493&gt;=DATE(2014,9,10),A493&lt;=DATE(2014,9,23)),"Baseline 1",IF(AND(A493&gt;=DATE(2015,9,23),A493&lt;=DATE(2015,10,6)),"Promo 2",IF(AND(A493&gt;=DATE(2015,9,9),A493&lt;=DATE(2015,9,22)),"Baseline 2",IF(AND(A493&gt;=DATE(2016,6,23),A493&lt;=DATE(2016,7,6)),"Promo 3",IF(AND(A493&gt;=DATE(2016,6,9),A493&lt;=DATE(2016,6,22)),"Baseline 3","Other"))))))</f>
        <v>Other</v>
      </c>
    </row>
    <row r="494" customFormat="false" ht="15" hidden="false" customHeight="true" outlineLevel="0" collapsed="false">
      <c r="A494" s="12" t="n">
        <v>42130</v>
      </c>
      <c r="B494" s="13" t="n">
        <v>224994.195070155</v>
      </c>
      <c r="C494" s="13" t="n">
        <v>242259.859539666</v>
      </c>
      <c r="D494" s="14" t="n">
        <v>5959</v>
      </c>
      <c r="E494" s="15" t="n">
        <f aca="false">B494/D494</f>
        <v>37.7570389444798</v>
      </c>
      <c r="F494" s="15" t="n">
        <f aca="false">C494/D494</f>
        <v>40.6544486557587</v>
      </c>
      <c r="G494" s="13" t="n">
        <f aca="false">B494-C494</f>
        <v>-17265.664469511</v>
      </c>
      <c r="H494" s="16" t="n">
        <f aca="false">G494/B494</f>
        <v>-0.076738266354505</v>
      </c>
      <c r="I494" s="15" t="n">
        <f aca="false">G494/D494</f>
        <v>-2.89740971127891</v>
      </c>
      <c r="J494" s="16" t="n">
        <f aca="false">I494/E494</f>
        <v>-0.076738266354505</v>
      </c>
      <c r="K494" s="17" t="str">
        <f aca="false">TEXT(A494,"dddd")</f>
        <v>Wednesday</v>
      </c>
      <c r="L494" s="17" t="str">
        <f aca="false">IF(AND(A494&gt;=DATE(2014,9,24),A494&lt;=DATE(2014,10,6)),"Promo 1",IF(AND(A494&gt;=DATE(2014,9,10),A494&lt;=DATE(2014,9,23)),"Baseline 1",IF(AND(A494&gt;=DATE(2015,9,23),A494&lt;=DATE(2015,10,6)),"Promo 2",IF(AND(A494&gt;=DATE(2015,9,9),A494&lt;=DATE(2015,9,22)),"Baseline 2",IF(AND(A494&gt;=DATE(2016,6,23),A494&lt;=DATE(2016,7,6)),"Promo 3",IF(AND(A494&gt;=DATE(2016,6,9),A494&lt;=DATE(2016,6,22)),"Baseline 3","Other"))))))</f>
        <v>Other</v>
      </c>
    </row>
    <row r="495" customFormat="false" ht="15" hidden="false" customHeight="true" outlineLevel="0" collapsed="false">
      <c r="A495" s="12" t="n">
        <v>42131</v>
      </c>
      <c r="B495" s="13" t="n">
        <v>117197.971729904</v>
      </c>
      <c r="C495" s="13" t="n">
        <v>115769.086327881</v>
      </c>
      <c r="D495" s="14" t="n">
        <v>2848</v>
      </c>
      <c r="E495" s="15" t="n">
        <f aca="false">B495/D495</f>
        <v>41.1509732197697</v>
      </c>
      <c r="F495" s="15" t="n">
        <f aca="false">C495/D495</f>
        <v>40.6492578398459</v>
      </c>
      <c r="G495" s="13" t="n">
        <f aca="false">B495-C495</f>
        <v>1428.88540202301</v>
      </c>
      <c r="H495" s="16" t="n">
        <f aca="false">G495/B495</f>
        <v>0.0121920659626775</v>
      </c>
      <c r="I495" s="15" t="n">
        <f aca="false">G495/D495</f>
        <v>0.501715379923808</v>
      </c>
      <c r="J495" s="16" t="n">
        <f aca="false">I495/E495</f>
        <v>0.0121920659626775</v>
      </c>
      <c r="K495" s="17" t="str">
        <f aca="false">TEXT(A495,"dddd")</f>
        <v>Thursday</v>
      </c>
      <c r="L495" s="17" t="str">
        <f aca="false">IF(AND(A495&gt;=DATE(2014,9,24),A495&lt;=DATE(2014,10,6)),"Promo 1",IF(AND(A495&gt;=DATE(2014,9,10),A495&lt;=DATE(2014,9,23)),"Baseline 1",IF(AND(A495&gt;=DATE(2015,9,23),A495&lt;=DATE(2015,10,6)),"Promo 2",IF(AND(A495&gt;=DATE(2015,9,9),A495&lt;=DATE(2015,9,22)),"Baseline 2",IF(AND(A495&gt;=DATE(2016,6,23),A495&lt;=DATE(2016,7,6)),"Promo 3",IF(AND(A495&gt;=DATE(2016,6,9),A495&lt;=DATE(2016,6,22)),"Baseline 3","Other"))))))</f>
        <v>Other</v>
      </c>
    </row>
    <row r="496" customFormat="false" ht="15" hidden="false" customHeight="true" outlineLevel="0" collapsed="false">
      <c r="A496" s="12" t="n">
        <v>42132</v>
      </c>
      <c r="B496" s="13" t="n">
        <v>330589.19981286</v>
      </c>
      <c r="C496" s="13" t="n">
        <v>355565.041734478</v>
      </c>
      <c r="D496" s="14" t="n">
        <v>8748</v>
      </c>
      <c r="E496" s="15" t="n">
        <f aca="false">B496/D496</f>
        <v>37.7902606096091</v>
      </c>
      <c r="F496" s="15" t="n">
        <f aca="false">C496/D496</f>
        <v>40.6452951228256</v>
      </c>
      <c r="G496" s="13" t="n">
        <f aca="false">B496-C496</f>
        <v>-24975.841921618</v>
      </c>
      <c r="H496" s="16" t="n">
        <f aca="false">G496/B496</f>
        <v>-0.0755494793409959</v>
      </c>
      <c r="I496" s="15" t="n">
        <f aca="false">G496/D496</f>
        <v>-2.85503451321651</v>
      </c>
      <c r="J496" s="16" t="n">
        <f aca="false">I496/E496</f>
        <v>-0.0755494793409959</v>
      </c>
      <c r="K496" s="17" t="str">
        <f aca="false">TEXT(A496,"dddd")</f>
        <v>Friday</v>
      </c>
      <c r="L496" s="17" t="str">
        <f aca="false">IF(AND(A496&gt;=DATE(2014,9,24),A496&lt;=DATE(2014,10,6)),"Promo 1",IF(AND(A496&gt;=DATE(2014,9,10),A496&lt;=DATE(2014,9,23)),"Baseline 1",IF(AND(A496&gt;=DATE(2015,9,23),A496&lt;=DATE(2015,10,6)),"Promo 2",IF(AND(A496&gt;=DATE(2015,9,9),A496&lt;=DATE(2015,9,22)),"Baseline 2",IF(AND(A496&gt;=DATE(2016,6,23),A496&lt;=DATE(2016,7,6)),"Promo 3",IF(AND(A496&gt;=DATE(2016,6,9),A496&lt;=DATE(2016,6,22)),"Baseline 3","Other"))))))</f>
        <v>Other</v>
      </c>
    </row>
    <row r="497" customFormat="false" ht="15" hidden="false" customHeight="true" outlineLevel="0" collapsed="false">
      <c r="A497" s="12" t="n">
        <v>42133</v>
      </c>
      <c r="B497" s="13" t="n">
        <v>389972.11975571</v>
      </c>
      <c r="C497" s="13" t="n">
        <v>419827.136522227</v>
      </c>
      <c r="D497" s="14" t="n">
        <v>10329</v>
      </c>
      <c r="E497" s="15" t="n">
        <f aca="false">B497/D497</f>
        <v>37.7550701670743</v>
      </c>
      <c r="F497" s="15" t="n">
        <f aca="false">C497/D497</f>
        <v>40.6454774443051</v>
      </c>
      <c r="G497" s="13" t="n">
        <f aca="false">B497-C497</f>
        <v>-29855.016766517</v>
      </c>
      <c r="H497" s="16" t="n">
        <f aca="false">G497/B497</f>
        <v>-0.0765567979198592</v>
      </c>
      <c r="I497" s="15" t="n">
        <f aca="false">G497/D497</f>
        <v>-2.89040727723081</v>
      </c>
      <c r="J497" s="16" t="n">
        <f aca="false">I497/E497</f>
        <v>-0.0765567979198592</v>
      </c>
      <c r="K497" s="17" t="str">
        <f aca="false">TEXT(A497,"dddd")</f>
        <v>Saturday</v>
      </c>
      <c r="L497" s="17" t="str">
        <f aca="false">IF(AND(A497&gt;=DATE(2014,9,24),A497&lt;=DATE(2014,10,6)),"Promo 1",IF(AND(A497&gt;=DATE(2014,9,10),A497&lt;=DATE(2014,9,23)),"Baseline 1",IF(AND(A497&gt;=DATE(2015,9,23),A497&lt;=DATE(2015,10,6)),"Promo 2",IF(AND(A497&gt;=DATE(2015,9,9),A497&lt;=DATE(2015,9,22)),"Baseline 2",IF(AND(A497&gt;=DATE(2016,6,23),A497&lt;=DATE(2016,7,6)),"Promo 3",IF(AND(A497&gt;=DATE(2016,6,9),A497&lt;=DATE(2016,6,22)),"Baseline 3","Other"))))))</f>
        <v>Other</v>
      </c>
    </row>
    <row r="498" customFormat="false" ht="15" hidden="false" customHeight="true" outlineLevel="0" collapsed="false">
      <c r="A498" s="12" t="n">
        <v>42134</v>
      </c>
      <c r="B498" s="13" t="n">
        <v>166536.00026357</v>
      </c>
      <c r="C498" s="13" t="n">
        <v>179243.0518334</v>
      </c>
      <c r="D498" s="14" t="n">
        <v>4410</v>
      </c>
      <c r="E498" s="15" t="n">
        <f aca="false">B498/D498</f>
        <v>37.7632653658889</v>
      </c>
      <c r="F498" s="15" t="n">
        <f aca="false">C498/D498</f>
        <v>40.6446829554195</v>
      </c>
      <c r="G498" s="13" t="n">
        <f aca="false">B498-C498</f>
        <v>-12707.05156983</v>
      </c>
      <c r="H498" s="16" t="n">
        <f aca="false">G498/B498</f>
        <v>-0.0763021301683664</v>
      </c>
      <c r="I498" s="15" t="n">
        <f aca="false">G498/D498</f>
        <v>-2.88141758953062</v>
      </c>
      <c r="J498" s="16" t="n">
        <f aca="false">I498/E498</f>
        <v>-0.0763021301683664</v>
      </c>
      <c r="K498" s="17" t="str">
        <f aca="false">TEXT(A498,"dddd")</f>
        <v>Sunday</v>
      </c>
      <c r="L498" s="17" t="str">
        <f aca="false">IF(AND(A498&gt;=DATE(2014,9,24),A498&lt;=DATE(2014,10,6)),"Promo 1",IF(AND(A498&gt;=DATE(2014,9,10),A498&lt;=DATE(2014,9,23)),"Baseline 1",IF(AND(A498&gt;=DATE(2015,9,23),A498&lt;=DATE(2015,10,6)),"Promo 2",IF(AND(A498&gt;=DATE(2015,9,9),A498&lt;=DATE(2015,9,22)),"Baseline 2",IF(AND(A498&gt;=DATE(2016,6,23),A498&lt;=DATE(2016,7,6)),"Promo 3",IF(AND(A498&gt;=DATE(2016,6,9),A498&lt;=DATE(2016,6,22)),"Baseline 3","Other"))))))</f>
        <v>Other</v>
      </c>
    </row>
    <row r="499" customFormat="false" ht="15" hidden="false" customHeight="true" outlineLevel="0" collapsed="false">
      <c r="A499" s="12" t="n">
        <v>42135</v>
      </c>
      <c r="B499" s="13" t="n">
        <v>198442.912653828</v>
      </c>
      <c r="C499" s="13" t="n">
        <v>213676.42842593</v>
      </c>
      <c r="D499" s="14" t="n">
        <v>5257</v>
      </c>
      <c r="E499" s="15" t="n">
        <f aca="false">B499/D499</f>
        <v>37.7483189373841</v>
      </c>
      <c r="F499" s="15" t="n">
        <f aca="false">C499/D499</f>
        <v>40.646077311381</v>
      </c>
      <c r="G499" s="13" t="n">
        <f aca="false">B499-C499</f>
        <v>-15233.515772102</v>
      </c>
      <c r="H499" s="16" t="n">
        <f aca="false">G499/B499</f>
        <v>-0.0767652296994651</v>
      </c>
      <c r="I499" s="15" t="n">
        <f aca="false">G499/D499</f>
        <v>-2.89775837399696</v>
      </c>
      <c r="J499" s="16" t="n">
        <f aca="false">I499/E499</f>
        <v>-0.0767652296994651</v>
      </c>
      <c r="K499" s="17" t="str">
        <f aca="false">TEXT(A499,"dddd")</f>
        <v>Monday</v>
      </c>
      <c r="L499" s="17" t="str">
        <f aca="false">IF(AND(A499&gt;=DATE(2014,9,24),A499&lt;=DATE(2014,10,6)),"Promo 1",IF(AND(A499&gt;=DATE(2014,9,10),A499&lt;=DATE(2014,9,23)),"Baseline 1",IF(AND(A499&gt;=DATE(2015,9,23),A499&lt;=DATE(2015,10,6)),"Promo 2",IF(AND(A499&gt;=DATE(2015,9,9),A499&lt;=DATE(2015,9,22)),"Baseline 2",IF(AND(A499&gt;=DATE(2016,6,23),A499&lt;=DATE(2016,7,6)),"Promo 3",IF(AND(A499&gt;=DATE(2016,6,9),A499&lt;=DATE(2016,6,22)),"Baseline 3","Other"))))))</f>
        <v>Other</v>
      </c>
    </row>
    <row r="500" customFormat="false" ht="15" hidden="false" customHeight="true" outlineLevel="0" collapsed="false">
      <c r="A500" s="12" t="n">
        <v>42136</v>
      </c>
      <c r="B500" s="13" t="n">
        <v>193182.150552713</v>
      </c>
      <c r="C500" s="13" t="n">
        <v>208039.173445555</v>
      </c>
      <c r="D500" s="14" t="n">
        <v>5118</v>
      </c>
      <c r="E500" s="15" t="n">
        <f aca="false">B500/D500</f>
        <v>37.7456331677829</v>
      </c>
      <c r="F500" s="15" t="n">
        <f aca="false">C500/D500</f>
        <v>40.64852939538</v>
      </c>
      <c r="G500" s="13" t="n">
        <f aca="false">B500-C500</f>
        <v>-14857.022892842</v>
      </c>
      <c r="H500" s="16" t="n">
        <f aca="false">G500/B500</f>
        <v>-0.0769068097147413</v>
      </c>
      <c r="I500" s="15" t="n">
        <f aca="false">G500/D500</f>
        <v>-2.90289622759711</v>
      </c>
      <c r="J500" s="16" t="n">
        <f aca="false">I500/E500</f>
        <v>-0.0769068097147413</v>
      </c>
      <c r="K500" s="17" t="str">
        <f aca="false">TEXT(A500,"dddd")</f>
        <v>Tuesday</v>
      </c>
      <c r="L500" s="17" t="str">
        <f aca="false">IF(AND(A500&gt;=DATE(2014,9,24),A500&lt;=DATE(2014,10,6)),"Promo 1",IF(AND(A500&gt;=DATE(2014,9,10),A500&lt;=DATE(2014,9,23)),"Baseline 1",IF(AND(A500&gt;=DATE(2015,9,23),A500&lt;=DATE(2015,10,6)),"Promo 2",IF(AND(A500&gt;=DATE(2015,9,9),A500&lt;=DATE(2015,9,22)),"Baseline 2",IF(AND(A500&gt;=DATE(2016,6,23),A500&lt;=DATE(2016,7,6)),"Promo 3",IF(AND(A500&gt;=DATE(2016,6,9),A500&lt;=DATE(2016,6,22)),"Baseline 3","Other"))))))</f>
        <v>Other</v>
      </c>
    </row>
    <row r="501" customFormat="false" ht="15" hidden="false" customHeight="true" outlineLevel="0" collapsed="false">
      <c r="A501" s="12" t="n">
        <v>42137</v>
      </c>
      <c r="B501" s="13" t="n">
        <v>166403.126995823</v>
      </c>
      <c r="C501" s="13" t="n">
        <v>179221.57229364</v>
      </c>
      <c r="D501" s="14" t="n">
        <v>4410</v>
      </c>
      <c r="E501" s="15" t="n">
        <f aca="false">B501/D501</f>
        <v>37.7331353732025</v>
      </c>
      <c r="F501" s="15" t="n">
        <f aca="false">C501/D501</f>
        <v>40.639812311483</v>
      </c>
      <c r="G501" s="13" t="n">
        <f aca="false">B501-C501</f>
        <v>-12818.445297817</v>
      </c>
      <c r="H501" s="16" t="n">
        <f aca="false">G501/B501</f>
        <v>-0.0770324784710252</v>
      </c>
      <c r="I501" s="15" t="n">
        <f aca="false">G501/D501</f>
        <v>-2.9066769382805</v>
      </c>
      <c r="J501" s="16" t="n">
        <f aca="false">I501/E501</f>
        <v>-0.0770324784710252</v>
      </c>
      <c r="K501" s="17" t="str">
        <f aca="false">TEXT(A501,"dddd")</f>
        <v>Wednesday</v>
      </c>
      <c r="L501" s="17" t="str">
        <f aca="false">IF(AND(A501&gt;=DATE(2014,9,24),A501&lt;=DATE(2014,10,6)),"Promo 1",IF(AND(A501&gt;=DATE(2014,9,10),A501&lt;=DATE(2014,9,23)),"Baseline 1",IF(AND(A501&gt;=DATE(2015,9,23),A501&lt;=DATE(2015,10,6)),"Promo 2",IF(AND(A501&gt;=DATE(2015,9,9),A501&lt;=DATE(2015,9,22)),"Baseline 2",IF(AND(A501&gt;=DATE(2016,6,23),A501&lt;=DATE(2016,7,6)),"Promo 3",IF(AND(A501&gt;=DATE(2016,6,9),A501&lt;=DATE(2016,6,22)),"Baseline 3","Other"))))))</f>
        <v>Other</v>
      </c>
    </row>
    <row r="502" customFormat="false" ht="15" hidden="false" customHeight="true" outlineLevel="0" collapsed="false">
      <c r="A502" s="12" t="n">
        <v>42138</v>
      </c>
      <c r="B502" s="13" t="n">
        <v>149178.601481034</v>
      </c>
      <c r="C502" s="13" t="n">
        <v>160620.207140873</v>
      </c>
      <c r="D502" s="14" t="n">
        <v>3952</v>
      </c>
      <c r="E502" s="15" t="n">
        <f aca="false">B502/D502</f>
        <v>37.7476218322455</v>
      </c>
      <c r="F502" s="15" t="n">
        <f aca="false">C502/D502</f>
        <v>40.6427649647958</v>
      </c>
      <c r="G502" s="13" t="n">
        <f aca="false">B502-C502</f>
        <v>-11441.605659839</v>
      </c>
      <c r="H502" s="16" t="n">
        <f aca="false">G502/B502</f>
        <v>-0.0766973650794926</v>
      </c>
      <c r="I502" s="15" t="n">
        <f aca="false">G502/D502</f>
        <v>-2.89514313255035</v>
      </c>
      <c r="J502" s="16" t="n">
        <f aca="false">I502/E502</f>
        <v>-0.0766973650794926</v>
      </c>
      <c r="K502" s="17" t="str">
        <f aca="false">TEXT(A502,"dddd")</f>
        <v>Thursday</v>
      </c>
      <c r="L502" s="17" t="str">
        <f aca="false">IF(AND(A502&gt;=DATE(2014,9,24),A502&lt;=DATE(2014,10,6)),"Promo 1",IF(AND(A502&gt;=DATE(2014,9,10),A502&lt;=DATE(2014,9,23)),"Baseline 1",IF(AND(A502&gt;=DATE(2015,9,23),A502&lt;=DATE(2015,10,6)),"Promo 2",IF(AND(A502&gt;=DATE(2015,9,9),A502&lt;=DATE(2015,9,22)),"Baseline 2",IF(AND(A502&gt;=DATE(2016,6,23),A502&lt;=DATE(2016,7,6)),"Promo 3",IF(AND(A502&gt;=DATE(2016,6,9),A502&lt;=DATE(2016,6,22)),"Baseline 3","Other"))))))</f>
        <v>Other</v>
      </c>
    </row>
    <row r="503" customFormat="false" ht="15" hidden="false" customHeight="true" outlineLevel="0" collapsed="false">
      <c r="A503" s="12" t="n">
        <v>42139</v>
      </c>
      <c r="B503" s="13" t="n">
        <v>380592.577583427</v>
      </c>
      <c r="C503" s="13" t="n">
        <v>409812.432663689</v>
      </c>
      <c r="D503" s="14" t="n">
        <v>10084</v>
      </c>
      <c r="E503" s="15" t="n">
        <f aca="false">B503/D503</f>
        <v>37.7422230844335</v>
      </c>
      <c r="F503" s="15" t="n">
        <f aca="false">C503/D503</f>
        <v>40.6398683720437</v>
      </c>
      <c r="G503" s="13" t="n">
        <f aca="false">B503-C503</f>
        <v>-29219.855080262</v>
      </c>
      <c r="H503" s="16" t="n">
        <f aca="false">G503/B503</f>
        <v>-0.0767746319851887</v>
      </c>
      <c r="I503" s="15" t="n">
        <f aca="false">G503/D503</f>
        <v>-2.89764528761027</v>
      </c>
      <c r="J503" s="16" t="n">
        <f aca="false">I503/E503</f>
        <v>-0.0767746319851887</v>
      </c>
      <c r="K503" s="17" t="str">
        <f aca="false">TEXT(A503,"dddd")</f>
        <v>Friday</v>
      </c>
      <c r="L503" s="17" t="str">
        <f aca="false">IF(AND(A503&gt;=DATE(2014,9,24),A503&lt;=DATE(2014,10,6)),"Promo 1",IF(AND(A503&gt;=DATE(2014,9,10),A503&lt;=DATE(2014,9,23)),"Baseline 1",IF(AND(A503&gt;=DATE(2015,9,23),A503&lt;=DATE(2015,10,6)),"Promo 2",IF(AND(A503&gt;=DATE(2015,9,9),A503&lt;=DATE(2015,9,22)),"Baseline 2",IF(AND(A503&gt;=DATE(2016,6,23),A503&lt;=DATE(2016,7,6)),"Promo 3",IF(AND(A503&gt;=DATE(2016,6,9),A503&lt;=DATE(2016,6,22)),"Baseline 3","Other"))))))</f>
        <v>Other</v>
      </c>
    </row>
    <row r="504" customFormat="false" ht="15" hidden="false" customHeight="true" outlineLevel="0" collapsed="false">
      <c r="A504" s="12" t="n">
        <v>42140</v>
      </c>
      <c r="B504" s="13" t="n">
        <v>413700.178932341</v>
      </c>
      <c r="C504" s="13" t="n">
        <v>445569.719107405</v>
      </c>
      <c r="D504" s="14" t="n">
        <v>10964</v>
      </c>
      <c r="E504" s="15" t="n">
        <f aca="false">B504/D504</f>
        <v>37.7325956705893</v>
      </c>
      <c r="F504" s="15" t="n">
        <f aca="false">C504/D504</f>
        <v>40.639339575648</v>
      </c>
      <c r="G504" s="13" t="n">
        <f aca="false">B504-C504</f>
        <v>-31869.540175064</v>
      </c>
      <c r="H504" s="16" t="n">
        <f aca="false">G504/B504</f>
        <v>-0.0770353550663466</v>
      </c>
      <c r="I504" s="15" t="n">
        <f aca="false">G504/D504</f>
        <v>-2.90674390505874</v>
      </c>
      <c r="J504" s="16" t="n">
        <f aca="false">I504/E504</f>
        <v>-0.0770353550663466</v>
      </c>
      <c r="K504" s="17" t="str">
        <f aca="false">TEXT(A504,"dddd")</f>
        <v>Saturday</v>
      </c>
      <c r="L504" s="17" t="str">
        <f aca="false">IF(AND(A504&gt;=DATE(2014,9,24),A504&lt;=DATE(2014,10,6)),"Promo 1",IF(AND(A504&gt;=DATE(2014,9,10),A504&lt;=DATE(2014,9,23)),"Baseline 1",IF(AND(A504&gt;=DATE(2015,9,23),A504&lt;=DATE(2015,10,6)),"Promo 2",IF(AND(A504&gt;=DATE(2015,9,9),A504&lt;=DATE(2015,9,22)),"Baseline 2",IF(AND(A504&gt;=DATE(2016,6,23),A504&lt;=DATE(2016,7,6)),"Promo 3",IF(AND(A504&gt;=DATE(2016,6,9),A504&lt;=DATE(2016,6,22)),"Baseline 3","Other"))))))</f>
        <v>Other</v>
      </c>
    </row>
    <row r="505" customFormat="false" ht="15" hidden="false" customHeight="true" outlineLevel="0" collapsed="false">
      <c r="A505" s="12" t="n">
        <v>42141</v>
      </c>
      <c r="B505" s="13" t="n">
        <v>177159.673065619</v>
      </c>
      <c r="C505" s="13" t="n">
        <v>190811.577944238</v>
      </c>
      <c r="D505" s="14" t="n">
        <v>4695</v>
      </c>
      <c r="E505" s="15" t="n">
        <f aca="false">B505/D505</f>
        <v>37.7336896838379</v>
      </c>
      <c r="F505" s="15" t="n">
        <f aca="false">C505/D505</f>
        <v>40.6414436515949</v>
      </c>
      <c r="G505" s="13" t="n">
        <f aca="false">B505-C505</f>
        <v>-13651.904878619</v>
      </c>
      <c r="H505" s="16" t="n">
        <f aca="false">G505/B505</f>
        <v>-0.0770598897727838</v>
      </c>
      <c r="I505" s="15" t="n">
        <f aca="false">G505/D505</f>
        <v>-2.90775396775698</v>
      </c>
      <c r="J505" s="16" t="n">
        <f aca="false">I505/E505</f>
        <v>-0.0770598897727838</v>
      </c>
      <c r="K505" s="17" t="str">
        <f aca="false">TEXT(A505,"dddd")</f>
        <v>Sunday</v>
      </c>
      <c r="L505" s="17" t="str">
        <f aca="false">IF(AND(A505&gt;=DATE(2014,9,24),A505&lt;=DATE(2014,10,6)),"Promo 1",IF(AND(A505&gt;=DATE(2014,9,10),A505&lt;=DATE(2014,9,23)),"Baseline 1",IF(AND(A505&gt;=DATE(2015,9,23),A505&lt;=DATE(2015,10,6)),"Promo 2",IF(AND(A505&gt;=DATE(2015,9,9),A505&lt;=DATE(2015,9,22)),"Baseline 2",IF(AND(A505&gt;=DATE(2016,6,23),A505&lt;=DATE(2016,7,6)),"Promo 3",IF(AND(A505&gt;=DATE(2016,6,9),A505&lt;=DATE(2016,6,22)),"Baseline 3","Other"))))))</f>
        <v>Other</v>
      </c>
    </row>
    <row r="506" customFormat="false" ht="15" hidden="false" customHeight="true" outlineLevel="0" collapsed="false">
      <c r="A506" s="12" t="n">
        <v>42142</v>
      </c>
      <c r="B506" s="13" t="n">
        <v>196420.763536848</v>
      </c>
      <c r="C506" s="13" t="n">
        <v>211510.786120345</v>
      </c>
      <c r="D506" s="14" t="n">
        <v>5205</v>
      </c>
      <c r="E506" s="15" t="n">
        <f aca="false">B506/D506</f>
        <v>37.7369382395481</v>
      </c>
      <c r="F506" s="15" t="n">
        <f aca="false">C506/D506</f>
        <v>40.6360780250423</v>
      </c>
      <c r="G506" s="13" t="n">
        <f aca="false">B506-C506</f>
        <v>-15090.022583497</v>
      </c>
      <c r="H506" s="16" t="n">
        <f aca="false">G506/B506</f>
        <v>-0.076824986889261</v>
      </c>
      <c r="I506" s="15" t="n">
        <f aca="false">G506/D506</f>
        <v>-2.89913978549414</v>
      </c>
      <c r="J506" s="16" t="n">
        <f aca="false">I506/E506</f>
        <v>-0.076824986889261</v>
      </c>
      <c r="K506" s="17" t="str">
        <f aca="false">TEXT(A506,"dddd")</f>
        <v>Monday</v>
      </c>
      <c r="L506" s="17" t="str">
        <f aca="false">IF(AND(A506&gt;=DATE(2014,9,24),A506&lt;=DATE(2014,10,6)),"Promo 1",IF(AND(A506&gt;=DATE(2014,9,10),A506&lt;=DATE(2014,9,23)),"Baseline 1",IF(AND(A506&gt;=DATE(2015,9,23),A506&lt;=DATE(2015,10,6)),"Promo 2",IF(AND(A506&gt;=DATE(2015,9,9),A506&lt;=DATE(2015,9,22)),"Baseline 2",IF(AND(A506&gt;=DATE(2016,6,23),A506&lt;=DATE(2016,7,6)),"Promo 3",IF(AND(A506&gt;=DATE(2016,6,9),A506&lt;=DATE(2016,6,22)),"Baseline 3","Other"))))))</f>
        <v>Other</v>
      </c>
    </row>
    <row r="507" customFormat="false" ht="15" hidden="false" customHeight="true" outlineLevel="0" collapsed="false">
      <c r="A507" s="12" t="n">
        <v>42143</v>
      </c>
      <c r="B507" s="13" t="n">
        <v>137940.872163805</v>
      </c>
      <c r="C507" s="13" t="n">
        <v>147846.052163397</v>
      </c>
      <c r="D507" s="14" t="n">
        <v>3638</v>
      </c>
      <c r="E507" s="15" t="n">
        <f aca="false">B507/D507</f>
        <v>37.9166773402433</v>
      </c>
      <c r="F507" s="15" t="n">
        <f aca="false">C507/D507</f>
        <v>40.6393766254527</v>
      </c>
      <c r="G507" s="13" t="n">
        <f aca="false">B507-C507</f>
        <v>-9905.17999959199</v>
      </c>
      <c r="H507" s="16" t="n">
        <f aca="false">G507/B507</f>
        <v>-0.071807433461995</v>
      </c>
      <c r="I507" s="15" t="n">
        <f aca="false">G507/D507</f>
        <v>-2.72269928520945</v>
      </c>
      <c r="J507" s="16" t="n">
        <f aca="false">I507/E507</f>
        <v>-0.071807433461995</v>
      </c>
      <c r="K507" s="17" t="str">
        <f aca="false">TEXT(A507,"dddd")</f>
        <v>Tuesday</v>
      </c>
      <c r="L507" s="17" t="str">
        <f aca="false">IF(AND(A507&gt;=DATE(2014,9,24),A507&lt;=DATE(2014,10,6)),"Promo 1",IF(AND(A507&gt;=DATE(2014,9,10),A507&lt;=DATE(2014,9,23)),"Baseline 1",IF(AND(A507&gt;=DATE(2015,9,23),A507&lt;=DATE(2015,10,6)),"Promo 2",IF(AND(A507&gt;=DATE(2015,9,9),A507&lt;=DATE(2015,9,22)),"Baseline 2",IF(AND(A507&gt;=DATE(2016,6,23),A507&lt;=DATE(2016,7,6)),"Promo 3",IF(AND(A507&gt;=DATE(2016,6,9),A507&lt;=DATE(2016,6,22)),"Baseline 3","Other"))))))</f>
        <v>Other</v>
      </c>
    </row>
    <row r="508" customFormat="false" ht="15" hidden="false" customHeight="true" outlineLevel="0" collapsed="false">
      <c r="A508" s="12" t="n">
        <v>42144</v>
      </c>
      <c r="B508" s="13" t="n">
        <v>166176.283811593</v>
      </c>
      <c r="C508" s="13" t="n">
        <v>178568.180480778</v>
      </c>
      <c r="D508" s="14" t="n">
        <v>4394</v>
      </c>
      <c r="E508" s="15" t="n">
        <f aca="false">B508/D508</f>
        <v>37.8189084687285</v>
      </c>
      <c r="F508" s="15" t="n">
        <f aca="false">C508/D508</f>
        <v>40.639094328807</v>
      </c>
      <c r="G508" s="13" t="n">
        <f aca="false">B508-C508</f>
        <v>-12391.896669185</v>
      </c>
      <c r="H508" s="16" t="n">
        <f aca="false">G508/B508</f>
        <v>-0.0745707894348792</v>
      </c>
      <c r="I508" s="15" t="n">
        <f aca="false">G508/D508</f>
        <v>-2.82018586007852</v>
      </c>
      <c r="J508" s="16" t="n">
        <f aca="false">I508/E508</f>
        <v>-0.0745707894348792</v>
      </c>
      <c r="K508" s="17" t="str">
        <f aca="false">TEXT(A508,"dddd")</f>
        <v>Wednesday</v>
      </c>
      <c r="L508" s="17" t="str">
        <f aca="false">IF(AND(A508&gt;=DATE(2014,9,24),A508&lt;=DATE(2014,10,6)),"Promo 1",IF(AND(A508&gt;=DATE(2014,9,10),A508&lt;=DATE(2014,9,23)),"Baseline 1",IF(AND(A508&gt;=DATE(2015,9,23),A508&lt;=DATE(2015,10,6)),"Promo 2",IF(AND(A508&gt;=DATE(2015,9,9),A508&lt;=DATE(2015,9,22)),"Baseline 2",IF(AND(A508&gt;=DATE(2016,6,23),A508&lt;=DATE(2016,7,6)),"Promo 3",IF(AND(A508&gt;=DATE(2016,6,9),A508&lt;=DATE(2016,6,22)),"Baseline 3","Other"))))))</f>
        <v>Other</v>
      </c>
    </row>
    <row r="509" customFormat="false" ht="15" hidden="false" customHeight="true" outlineLevel="0" collapsed="false">
      <c r="A509" s="12" t="n">
        <v>42145</v>
      </c>
      <c r="B509" s="13" t="n">
        <v>84604.3775726392</v>
      </c>
      <c r="C509" s="13" t="n">
        <v>81763.2673893301</v>
      </c>
      <c r="D509" s="14" t="n">
        <v>2012</v>
      </c>
      <c r="E509" s="15" t="n">
        <f aca="false">B509/D509</f>
        <v>42.0498894496219</v>
      </c>
      <c r="F509" s="15" t="n">
        <f aca="false">C509/D509</f>
        <v>40.6378068535438</v>
      </c>
      <c r="G509" s="13" t="n">
        <f aca="false">B509-C509</f>
        <v>2841.11018330911</v>
      </c>
      <c r="H509" s="16" t="n">
        <f aca="false">G509/B509</f>
        <v>0.033581125053131</v>
      </c>
      <c r="I509" s="15" t="n">
        <f aca="false">G509/D509</f>
        <v>1.41208259607809</v>
      </c>
      <c r="J509" s="16" t="n">
        <f aca="false">I509/E509</f>
        <v>0.033581125053131</v>
      </c>
      <c r="K509" s="17" t="str">
        <f aca="false">TEXT(A509,"dddd")</f>
        <v>Thursday</v>
      </c>
      <c r="L509" s="17" t="str">
        <f aca="false">IF(AND(A509&gt;=DATE(2014,9,24),A509&lt;=DATE(2014,10,6)),"Promo 1",IF(AND(A509&gt;=DATE(2014,9,10),A509&lt;=DATE(2014,9,23)),"Baseline 1",IF(AND(A509&gt;=DATE(2015,9,23),A509&lt;=DATE(2015,10,6)),"Promo 2",IF(AND(A509&gt;=DATE(2015,9,9),A509&lt;=DATE(2015,9,22)),"Baseline 2",IF(AND(A509&gt;=DATE(2016,6,23),A509&lt;=DATE(2016,7,6)),"Promo 3",IF(AND(A509&gt;=DATE(2016,6,9),A509&lt;=DATE(2016,6,22)),"Baseline 3","Other"))))))</f>
        <v>Other</v>
      </c>
    </row>
    <row r="510" customFormat="false" ht="15" hidden="false" customHeight="true" outlineLevel="0" collapsed="false">
      <c r="A510" s="12" t="n">
        <v>42146</v>
      </c>
      <c r="B510" s="13" t="n">
        <v>321821.020286761</v>
      </c>
      <c r="C510" s="13" t="n">
        <v>346487.520334167</v>
      </c>
      <c r="D510" s="14" t="n">
        <v>8526</v>
      </c>
      <c r="E510" s="15" t="n">
        <f aca="false">B510/D510</f>
        <v>37.7458386449403</v>
      </c>
      <c r="F510" s="15" t="n">
        <f aca="false">C510/D510</f>
        <v>40.6389303699469</v>
      </c>
      <c r="G510" s="13" t="n">
        <f aca="false">B510-C510</f>
        <v>-24666.500047406</v>
      </c>
      <c r="H510" s="16" t="n">
        <f aca="false">G510/B510</f>
        <v>-0.0766466405004457</v>
      </c>
      <c r="I510" s="15" t="n">
        <f aca="false">G510/D510</f>
        <v>-2.89309172500657</v>
      </c>
      <c r="J510" s="16" t="n">
        <f aca="false">I510/E510</f>
        <v>-0.0766466405004457</v>
      </c>
      <c r="K510" s="17" t="str">
        <f aca="false">TEXT(A510,"dddd")</f>
        <v>Friday</v>
      </c>
      <c r="L510" s="17" t="str">
        <f aca="false">IF(AND(A510&gt;=DATE(2014,9,24),A510&lt;=DATE(2014,10,6)),"Promo 1",IF(AND(A510&gt;=DATE(2014,9,10),A510&lt;=DATE(2014,9,23)),"Baseline 1",IF(AND(A510&gt;=DATE(2015,9,23),A510&lt;=DATE(2015,10,6)),"Promo 2",IF(AND(A510&gt;=DATE(2015,9,9),A510&lt;=DATE(2015,9,22)),"Baseline 2",IF(AND(A510&gt;=DATE(2016,6,23),A510&lt;=DATE(2016,7,6)),"Promo 3",IF(AND(A510&gt;=DATE(2016,6,9),A510&lt;=DATE(2016,6,22)),"Baseline 3","Other"))))))</f>
        <v>Other</v>
      </c>
    </row>
    <row r="511" customFormat="false" ht="15" hidden="false" customHeight="true" outlineLevel="0" collapsed="false">
      <c r="A511" s="12" t="n">
        <v>42147</v>
      </c>
      <c r="B511" s="13" t="n">
        <v>418715.41064993</v>
      </c>
      <c r="C511" s="13" t="n">
        <v>450936.279264295</v>
      </c>
      <c r="D511" s="14" t="n">
        <v>11096</v>
      </c>
      <c r="E511" s="15" t="n">
        <f aca="false">B511/D511</f>
        <v>37.7357075207219</v>
      </c>
      <c r="F511" s="15" t="n">
        <f aca="false">C511/D511</f>
        <v>40.6395349012523</v>
      </c>
      <c r="G511" s="13" t="n">
        <f aca="false">B511-C511</f>
        <v>-32220.868614365</v>
      </c>
      <c r="H511" s="16" t="n">
        <f aca="false">G511/B511</f>
        <v>-0.0769517142069163</v>
      </c>
      <c r="I511" s="15" t="n">
        <f aca="false">G511/D511</f>
        <v>-2.90382738053037</v>
      </c>
      <c r="J511" s="16" t="n">
        <f aca="false">I511/E511</f>
        <v>-0.0769517142069163</v>
      </c>
      <c r="K511" s="17" t="str">
        <f aca="false">TEXT(A511,"dddd")</f>
        <v>Saturday</v>
      </c>
      <c r="L511" s="17" t="str">
        <f aca="false">IF(AND(A511&gt;=DATE(2014,9,24),A511&lt;=DATE(2014,10,6)),"Promo 1",IF(AND(A511&gt;=DATE(2014,9,10),A511&lt;=DATE(2014,9,23)),"Baseline 1",IF(AND(A511&gt;=DATE(2015,9,23),A511&lt;=DATE(2015,10,6)),"Promo 2",IF(AND(A511&gt;=DATE(2015,9,9),A511&lt;=DATE(2015,9,22)),"Baseline 2",IF(AND(A511&gt;=DATE(2016,6,23),A511&lt;=DATE(2016,7,6)),"Promo 3",IF(AND(A511&gt;=DATE(2016,6,9),A511&lt;=DATE(2016,6,22)),"Baseline 3","Other"))))))</f>
        <v>Other</v>
      </c>
    </row>
    <row r="512" customFormat="false" ht="15" hidden="false" customHeight="true" outlineLevel="0" collapsed="false">
      <c r="A512" s="12" t="n">
        <v>42148</v>
      </c>
      <c r="B512" s="13" t="n">
        <v>169541.265947362</v>
      </c>
      <c r="C512" s="13" t="n">
        <v>182419.141441623</v>
      </c>
      <c r="D512" s="14" t="n">
        <v>4489</v>
      </c>
      <c r="E512" s="15" t="n">
        <f aca="false">B512/D512</f>
        <v>37.7681590437429</v>
      </c>
      <c r="F512" s="15" t="n">
        <f aca="false">C512/D512</f>
        <v>40.6369216844783</v>
      </c>
      <c r="G512" s="13" t="n">
        <f aca="false">B512-C512</f>
        <v>-12877.875494261</v>
      </c>
      <c r="H512" s="16" t="n">
        <f aca="false">G512/B512</f>
        <v>-0.0759571743333522</v>
      </c>
      <c r="I512" s="15" t="n">
        <f aca="false">G512/D512</f>
        <v>-2.86876264073536</v>
      </c>
      <c r="J512" s="16" t="n">
        <f aca="false">I512/E512</f>
        <v>-0.0759571743333522</v>
      </c>
      <c r="K512" s="17" t="str">
        <f aca="false">TEXT(A512,"dddd")</f>
        <v>Sunday</v>
      </c>
      <c r="L512" s="17" t="str">
        <f aca="false">IF(AND(A512&gt;=DATE(2014,9,24),A512&lt;=DATE(2014,10,6)),"Promo 1",IF(AND(A512&gt;=DATE(2014,9,10),A512&lt;=DATE(2014,9,23)),"Baseline 1",IF(AND(A512&gt;=DATE(2015,9,23),A512&lt;=DATE(2015,10,6)),"Promo 2",IF(AND(A512&gt;=DATE(2015,9,9),A512&lt;=DATE(2015,9,22)),"Baseline 2",IF(AND(A512&gt;=DATE(2016,6,23),A512&lt;=DATE(2016,7,6)),"Promo 3",IF(AND(A512&gt;=DATE(2016,6,9),A512&lt;=DATE(2016,6,22)),"Baseline 3","Other"))))))</f>
        <v>Other</v>
      </c>
    </row>
    <row r="513" customFormat="false" ht="15" hidden="false" customHeight="true" outlineLevel="0" collapsed="false">
      <c r="A513" s="12" t="n">
        <v>42149</v>
      </c>
      <c r="B513" s="13" t="n">
        <v>256434.509936074</v>
      </c>
      <c r="C513" s="13" t="n">
        <v>276173.792451497</v>
      </c>
      <c r="D513" s="14" t="n">
        <v>6795</v>
      </c>
      <c r="E513" s="15" t="n">
        <f aca="false">B513/D513</f>
        <v>37.7387063923582</v>
      </c>
      <c r="F513" s="15" t="n">
        <f aca="false">C513/D513</f>
        <v>40.6436780649738</v>
      </c>
      <c r="G513" s="13" t="n">
        <f aca="false">B513-C513</f>
        <v>-19739.282515423</v>
      </c>
      <c r="H513" s="16" t="n">
        <f aca="false">G513/B513</f>
        <v>-0.0769759207539725</v>
      </c>
      <c r="I513" s="15" t="n">
        <f aca="false">G513/D513</f>
        <v>-2.9049716726156</v>
      </c>
      <c r="J513" s="16" t="n">
        <f aca="false">I513/E513</f>
        <v>-0.0769759207539725</v>
      </c>
      <c r="K513" s="17" t="str">
        <f aca="false">TEXT(A513,"dddd")</f>
        <v>Monday</v>
      </c>
      <c r="L513" s="17" t="str">
        <f aca="false">IF(AND(A513&gt;=DATE(2014,9,24),A513&lt;=DATE(2014,10,6)),"Promo 1",IF(AND(A513&gt;=DATE(2014,9,10),A513&lt;=DATE(2014,9,23)),"Baseline 1",IF(AND(A513&gt;=DATE(2015,9,23),A513&lt;=DATE(2015,10,6)),"Promo 2",IF(AND(A513&gt;=DATE(2015,9,9),A513&lt;=DATE(2015,9,22)),"Baseline 2",IF(AND(A513&gt;=DATE(2016,6,23),A513&lt;=DATE(2016,7,6)),"Promo 3",IF(AND(A513&gt;=DATE(2016,6,9),A513&lt;=DATE(2016,6,22)),"Baseline 3","Other"))))))</f>
        <v>Other</v>
      </c>
    </row>
    <row r="514" customFormat="false" ht="15" hidden="false" customHeight="true" outlineLevel="0" collapsed="false">
      <c r="A514" s="12" t="n">
        <v>42150</v>
      </c>
      <c r="B514" s="13" t="n">
        <v>199385.91241487</v>
      </c>
      <c r="C514" s="13" t="n">
        <v>214719.752819221</v>
      </c>
      <c r="D514" s="14" t="n">
        <v>5283</v>
      </c>
      <c r="E514" s="15" t="n">
        <f aca="false">B514/D514</f>
        <v>37.7410396393848</v>
      </c>
      <c r="F514" s="15" t="n">
        <f aca="false">C514/D514</f>
        <v>40.6435269390916</v>
      </c>
      <c r="G514" s="13" t="n">
        <f aca="false">B514-C514</f>
        <v>-15333.840404351</v>
      </c>
      <c r="H514" s="16" t="n">
        <f aca="false">G514/B514</f>
        <v>-0.0769053350792673</v>
      </c>
      <c r="I514" s="15" t="n">
        <f aca="false">G514/D514</f>
        <v>-2.9024872997068</v>
      </c>
      <c r="J514" s="16" t="n">
        <f aca="false">I514/E514</f>
        <v>-0.0769053350792673</v>
      </c>
      <c r="K514" s="17" t="str">
        <f aca="false">TEXT(A514,"dddd")</f>
        <v>Tuesday</v>
      </c>
      <c r="L514" s="17" t="str">
        <f aca="false">IF(AND(A514&gt;=DATE(2014,9,24),A514&lt;=DATE(2014,10,6)),"Promo 1",IF(AND(A514&gt;=DATE(2014,9,10),A514&lt;=DATE(2014,9,23)),"Baseline 1",IF(AND(A514&gt;=DATE(2015,9,23),A514&lt;=DATE(2015,10,6)),"Promo 2",IF(AND(A514&gt;=DATE(2015,9,9),A514&lt;=DATE(2015,9,22)),"Baseline 2",IF(AND(A514&gt;=DATE(2016,6,23),A514&lt;=DATE(2016,7,6)),"Promo 3",IF(AND(A514&gt;=DATE(2016,6,9),A514&lt;=DATE(2016,6,22)),"Baseline 3","Other"))))))</f>
        <v>Other</v>
      </c>
    </row>
    <row r="515" customFormat="false" ht="15" hidden="false" customHeight="true" outlineLevel="0" collapsed="false">
      <c r="A515" s="12" t="n">
        <v>42151</v>
      </c>
      <c r="B515" s="13" t="n">
        <v>243554.224338555</v>
      </c>
      <c r="C515" s="13" t="n">
        <v>262251.080079408</v>
      </c>
      <c r="D515" s="14" t="n">
        <v>6453</v>
      </c>
      <c r="E515" s="15" t="n">
        <f aca="false">B515/D515</f>
        <v>37.7427900726104</v>
      </c>
      <c r="F515" s="15" t="n">
        <f aca="false">C515/D515</f>
        <v>40.6401797736569</v>
      </c>
      <c r="G515" s="13" t="n">
        <f aca="false">B515-C515</f>
        <v>-18696.855740853</v>
      </c>
      <c r="H515" s="16" t="n">
        <f aca="false">G515/B515</f>
        <v>-0.0767667068457957</v>
      </c>
      <c r="I515" s="15" t="n">
        <f aca="false">G515/D515</f>
        <v>-2.89738970104649</v>
      </c>
      <c r="J515" s="16" t="n">
        <f aca="false">I515/E515</f>
        <v>-0.0767667068457957</v>
      </c>
      <c r="K515" s="17" t="str">
        <f aca="false">TEXT(A515,"dddd")</f>
        <v>Wednesday</v>
      </c>
      <c r="L515" s="17" t="str">
        <f aca="false">IF(AND(A515&gt;=DATE(2014,9,24),A515&lt;=DATE(2014,10,6)),"Promo 1",IF(AND(A515&gt;=DATE(2014,9,10),A515&lt;=DATE(2014,9,23)),"Baseline 1",IF(AND(A515&gt;=DATE(2015,9,23),A515&lt;=DATE(2015,10,6)),"Promo 2",IF(AND(A515&gt;=DATE(2015,9,9),A515&lt;=DATE(2015,9,22)),"Baseline 2",IF(AND(A515&gt;=DATE(2016,6,23),A515&lt;=DATE(2016,7,6)),"Promo 3",IF(AND(A515&gt;=DATE(2016,6,9),A515&lt;=DATE(2016,6,22)),"Baseline 3","Other"))))))</f>
        <v>Other</v>
      </c>
    </row>
    <row r="516" customFormat="false" ht="15" hidden="false" customHeight="true" outlineLevel="0" collapsed="false">
      <c r="A516" s="12" t="n">
        <v>42152</v>
      </c>
      <c r="B516" s="13" t="n">
        <v>217746.012919847</v>
      </c>
      <c r="C516" s="13" t="n">
        <v>234483.417009807</v>
      </c>
      <c r="D516" s="14" t="n">
        <v>5770</v>
      </c>
      <c r="E516" s="15" t="n">
        <f aca="false">B516/D516</f>
        <v>37.7376105580324</v>
      </c>
      <c r="F516" s="15" t="n">
        <f aca="false">C516/D516</f>
        <v>40.6383738318556</v>
      </c>
      <c r="G516" s="13" t="n">
        <f aca="false">B516-C516</f>
        <v>-16737.40408996</v>
      </c>
      <c r="H516" s="16" t="n">
        <f aca="false">G516/B516</f>
        <v>-0.0768666386379303</v>
      </c>
      <c r="I516" s="15" t="n">
        <f aca="false">G516/D516</f>
        <v>-2.90076327382322</v>
      </c>
      <c r="J516" s="16" t="n">
        <f aca="false">I516/E516</f>
        <v>-0.0768666386379303</v>
      </c>
      <c r="K516" s="17" t="str">
        <f aca="false">TEXT(A516,"dddd")</f>
        <v>Thursday</v>
      </c>
      <c r="L516" s="17" t="str">
        <f aca="false">IF(AND(A516&gt;=DATE(2014,9,24),A516&lt;=DATE(2014,10,6)),"Promo 1",IF(AND(A516&gt;=DATE(2014,9,10),A516&lt;=DATE(2014,9,23)),"Baseline 1",IF(AND(A516&gt;=DATE(2015,9,23),A516&lt;=DATE(2015,10,6)),"Promo 2",IF(AND(A516&gt;=DATE(2015,9,9),A516&lt;=DATE(2015,9,22)),"Baseline 2",IF(AND(A516&gt;=DATE(2016,6,23),A516&lt;=DATE(2016,7,6)),"Promo 3",IF(AND(A516&gt;=DATE(2016,6,9),A516&lt;=DATE(2016,6,22)),"Baseline 3","Other"))))))</f>
        <v>Other</v>
      </c>
    </row>
    <row r="517" customFormat="false" ht="15" hidden="false" customHeight="true" outlineLevel="0" collapsed="false">
      <c r="A517" s="12" t="n">
        <v>42153</v>
      </c>
      <c r="B517" s="13" t="n">
        <v>472160.752109749</v>
      </c>
      <c r="C517" s="13" t="n">
        <v>508265.146973742</v>
      </c>
      <c r="D517" s="14" t="n">
        <v>12507</v>
      </c>
      <c r="E517" s="15" t="n">
        <f aca="false">B517/D517</f>
        <v>37.7517192060245</v>
      </c>
      <c r="F517" s="15" t="n">
        <f aca="false">C517/D517</f>
        <v>40.6384542235342</v>
      </c>
      <c r="G517" s="13" t="n">
        <f aca="false">B517-C517</f>
        <v>-36104.394863993</v>
      </c>
      <c r="H517" s="16" t="n">
        <f aca="false">G517/B517</f>
        <v>-0.0764663193682835</v>
      </c>
      <c r="I517" s="15" t="n">
        <f aca="false">G517/D517</f>
        <v>-2.88673501750963</v>
      </c>
      <c r="J517" s="16" t="n">
        <f aca="false">I517/E517</f>
        <v>-0.0764663193682835</v>
      </c>
      <c r="K517" s="17" t="str">
        <f aca="false">TEXT(A517,"dddd")</f>
        <v>Friday</v>
      </c>
      <c r="L517" s="17" t="str">
        <f aca="false">IF(AND(A517&gt;=DATE(2014,9,24),A517&lt;=DATE(2014,10,6)),"Promo 1",IF(AND(A517&gt;=DATE(2014,9,10),A517&lt;=DATE(2014,9,23)),"Baseline 1",IF(AND(A517&gt;=DATE(2015,9,23),A517&lt;=DATE(2015,10,6)),"Promo 2",IF(AND(A517&gt;=DATE(2015,9,9),A517&lt;=DATE(2015,9,22)),"Baseline 2",IF(AND(A517&gt;=DATE(2016,6,23),A517&lt;=DATE(2016,7,6)),"Promo 3",IF(AND(A517&gt;=DATE(2016,6,9),A517&lt;=DATE(2016,6,22)),"Baseline 3","Other"))))))</f>
        <v>Other</v>
      </c>
    </row>
    <row r="518" customFormat="false" ht="15" hidden="false" customHeight="true" outlineLevel="0" collapsed="false">
      <c r="A518" s="12" t="n">
        <v>42154</v>
      </c>
      <c r="B518" s="13" t="n">
        <v>546135.462415099</v>
      </c>
      <c r="C518" s="13" t="n">
        <v>588250.181150783</v>
      </c>
      <c r="D518" s="14" t="n">
        <v>14475</v>
      </c>
      <c r="E518" s="15" t="n">
        <f aca="false">B518/D518</f>
        <v>37.7295656245319</v>
      </c>
      <c r="F518" s="15" t="n">
        <f aca="false">C518/D518</f>
        <v>40.6390453299332</v>
      </c>
      <c r="G518" s="13" t="n">
        <f aca="false">B518-C518</f>
        <v>-42114.7187356839</v>
      </c>
      <c r="H518" s="16" t="n">
        <f aca="false">G518/B518</f>
        <v>-0.077114052527272</v>
      </c>
      <c r="I518" s="15" t="n">
        <f aca="false">G518/D518</f>
        <v>-2.90947970540131</v>
      </c>
      <c r="J518" s="16" t="n">
        <f aca="false">I518/E518</f>
        <v>-0.077114052527272</v>
      </c>
      <c r="K518" s="17" t="str">
        <f aca="false">TEXT(A518,"dddd")</f>
        <v>Saturday</v>
      </c>
      <c r="L518" s="17" t="str">
        <f aca="false">IF(AND(A518&gt;=DATE(2014,9,24),A518&lt;=DATE(2014,10,6)),"Promo 1",IF(AND(A518&gt;=DATE(2014,9,10),A518&lt;=DATE(2014,9,23)),"Baseline 1",IF(AND(A518&gt;=DATE(2015,9,23),A518&lt;=DATE(2015,10,6)),"Promo 2",IF(AND(A518&gt;=DATE(2015,9,9),A518&lt;=DATE(2015,9,22)),"Baseline 2",IF(AND(A518&gt;=DATE(2016,6,23),A518&lt;=DATE(2016,7,6)),"Promo 3",IF(AND(A518&gt;=DATE(2016,6,9),A518&lt;=DATE(2016,6,22)),"Baseline 3","Other"))))))</f>
        <v>Other</v>
      </c>
    </row>
    <row r="519" customFormat="false" ht="15" hidden="false" customHeight="true" outlineLevel="0" collapsed="false">
      <c r="A519" s="12" t="n">
        <v>42155</v>
      </c>
      <c r="B519" s="13" t="n">
        <v>264637.365279711</v>
      </c>
      <c r="C519" s="13" t="n">
        <v>284828.659656249</v>
      </c>
      <c r="D519" s="14" t="n">
        <v>7009</v>
      </c>
      <c r="E519" s="15" t="n">
        <f aca="false">B519/D519</f>
        <v>37.7567934483822</v>
      </c>
      <c r="F519" s="15" t="n">
        <f aca="false">C519/D519</f>
        <v>40.6375602305962</v>
      </c>
      <c r="G519" s="13" t="n">
        <f aca="false">B519-C519</f>
        <v>-20191.294376538</v>
      </c>
      <c r="H519" s="16" t="n">
        <f aca="false">G519/B519</f>
        <v>-0.0762979723411189</v>
      </c>
      <c r="I519" s="15" t="n">
        <f aca="false">G519/D519</f>
        <v>-2.88076678221401</v>
      </c>
      <c r="J519" s="16" t="n">
        <f aca="false">I519/E519</f>
        <v>-0.0762979723411189</v>
      </c>
      <c r="K519" s="17" t="str">
        <f aca="false">TEXT(A519,"dddd")</f>
        <v>Sunday</v>
      </c>
      <c r="L519" s="17" t="str">
        <f aca="false">IF(AND(A519&gt;=DATE(2014,9,24),A519&lt;=DATE(2014,10,6)),"Promo 1",IF(AND(A519&gt;=DATE(2014,9,10),A519&lt;=DATE(2014,9,23)),"Baseline 1",IF(AND(A519&gt;=DATE(2015,9,23),A519&lt;=DATE(2015,10,6)),"Promo 2",IF(AND(A519&gt;=DATE(2015,9,9),A519&lt;=DATE(2015,9,22)),"Baseline 2",IF(AND(A519&gt;=DATE(2016,6,23),A519&lt;=DATE(2016,7,6)),"Promo 3",IF(AND(A519&gt;=DATE(2016,6,9),A519&lt;=DATE(2016,6,22)),"Baseline 3","Other"))))))</f>
        <v>Other</v>
      </c>
    </row>
    <row r="520" customFormat="false" ht="15" hidden="false" customHeight="true" outlineLevel="0" collapsed="false">
      <c r="A520" s="12" t="n">
        <v>42156</v>
      </c>
      <c r="B520" s="13" t="n">
        <v>440905.99870597</v>
      </c>
      <c r="C520" s="13" t="n">
        <v>474967.327631215</v>
      </c>
      <c r="D520" s="14" t="n">
        <v>11688</v>
      </c>
      <c r="E520" s="15" t="n">
        <f aca="false">B520/D520</f>
        <v>37.7229636127627</v>
      </c>
      <c r="F520" s="15" t="n">
        <f aca="false">C520/D520</f>
        <v>40.637177244286</v>
      </c>
      <c r="G520" s="13" t="n">
        <f aca="false">B520-C520</f>
        <v>-34061.328925245</v>
      </c>
      <c r="H520" s="16" t="n">
        <f aca="false">G520/B520</f>
        <v>-0.0772530403877759</v>
      </c>
      <c r="I520" s="15" t="n">
        <f aca="false">G520/D520</f>
        <v>-2.91421363152336</v>
      </c>
      <c r="J520" s="16" t="n">
        <f aca="false">I520/E520</f>
        <v>-0.0772530403877759</v>
      </c>
      <c r="K520" s="17" t="str">
        <f aca="false">TEXT(A520,"dddd")</f>
        <v>Monday</v>
      </c>
      <c r="L520" s="17" t="str">
        <f aca="false">IF(AND(A520&gt;=DATE(2014,9,24),A520&lt;=DATE(2014,10,6)),"Promo 1",IF(AND(A520&gt;=DATE(2014,9,10),A520&lt;=DATE(2014,9,23)),"Baseline 1",IF(AND(A520&gt;=DATE(2015,9,23),A520&lt;=DATE(2015,10,6)),"Promo 2",IF(AND(A520&gt;=DATE(2015,9,9),A520&lt;=DATE(2015,9,22)),"Baseline 2",IF(AND(A520&gt;=DATE(2016,6,23),A520&lt;=DATE(2016,7,6)),"Promo 3",IF(AND(A520&gt;=DATE(2016,6,9),A520&lt;=DATE(2016,6,22)),"Baseline 3","Other"))))))</f>
        <v>Other</v>
      </c>
    </row>
    <row r="521" customFormat="false" ht="15" hidden="false" customHeight="true" outlineLevel="0" collapsed="false">
      <c r="A521" s="12" t="n">
        <v>42157</v>
      </c>
      <c r="B521" s="13" t="n">
        <v>334318.897833152</v>
      </c>
      <c r="C521" s="13" t="n">
        <v>360168.827077008</v>
      </c>
      <c r="D521" s="14" t="n">
        <v>8863</v>
      </c>
      <c r="E521" s="15" t="n">
        <f aca="false">B521/D521</f>
        <v>37.7207376546488</v>
      </c>
      <c r="F521" s="15" t="n">
        <f aca="false">C521/D521</f>
        <v>40.6373493260756</v>
      </c>
      <c r="G521" s="13" t="n">
        <f aca="false">B521-C521</f>
        <v>-25849.9292438561</v>
      </c>
      <c r="H521" s="16" t="n">
        <f aca="false">G521/B521</f>
        <v>-0.0773211727228083</v>
      </c>
      <c r="I521" s="15" t="n">
        <f aca="false">G521/D521</f>
        <v>-2.91661167142684</v>
      </c>
      <c r="J521" s="16" t="n">
        <f aca="false">I521/E521</f>
        <v>-0.0773211727228083</v>
      </c>
      <c r="K521" s="17" t="str">
        <f aca="false">TEXT(A521,"dddd")</f>
        <v>Tuesday</v>
      </c>
      <c r="L521" s="17" t="str">
        <f aca="false">IF(AND(A521&gt;=DATE(2014,9,24),A521&lt;=DATE(2014,10,6)),"Promo 1",IF(AND(A521&gt;=DATE(2014,9,10),A521&lt;=DATE(2014,9,23)),"Baseline 1",IF(AND(A521&gt;=DATE(2015,9,23),A521&lt;=DATE(2015,10,6)),"Promo 2",IF(AND(A521&gt;=DATE(2015,9,9),A521&lt;=DATE(2015,9,22)),"Baseline 2",IF(AND(A521&gt;=DATE(2016,6,23),A521&lt;=DATE(2016,7,6)),"Promo 3",IF(AND(A521&gt;=DATE(2016,6,9),A521&lt;=DATE(2016,6,22)),"Baseline 3","Other"))))))</f>
        <v>Other</v>
      </c>
    </row>
    <row r="522" customFormat="false" ht="15" hidden="false" customHeight="true" outlineLevel="0" collapsed="false">
      <c r="A522" s="12" t="n">
        <v>42158</v>
      </c>
      <c r="B522" s="13" t="n">
        <v>269835.828626803</v>
      </c>
      <c r="C522" s="13" t="n">
        <v>290492.106280322</v>
      </c>
      <c r="D522" s="14" t="n">
        <v>7148</v>
      </c>
      <c r="E522" s="15" t="n">
        <f aca="false">B522/D522</f>
        <v>37.7498361257419</v>
      </c>
      <c r="F522" s="15" t="n">
        <f aca="false">C522/D522</f>
        <v>40.6396343425185</v>
      </c>
      <c r="G522" s="13" t="n">
        <f aca="false">B522-C522</f>
        <v>-20656.277653519</v>
      </c>
      <c r="H522" s="16" t="n">
        <f aca="false">G522/B522</f>
        <v>-0.076551278451935</v>
      </c>
      <c r="I522" s="15" t="n">
        <f aca="false">G522/D522</f>
        <v>-2.88979821677658</v>
      </c>
      <c r="J522" s="16" t="n">
        <f aca="false">I522/E522</f>
        <v>-0.076551278451935</v>
      </c>
      <c r="K522" s="17" t="str">
        <f aca="false">TEXT(A522,"dddd")</f>
        <v>Wednesday</v>
      </c>
      <c r="L522" s="17" t="str">
        <f aca="false">IF(AND(A522&gt;=DATE(2014,9,24),A522&lt;=DATE(2014,10,6)),"Promo 1",IF(AND(A522&gt;=DATE(2014,9,10),A522&lt;=DATE(2014,9,23)),"Baseline 1",IF(AND(A522&gt;=DATE(2015,9,23),A522&lt;=DATE(2015,10,6)),"Promo 2",IF(AND(A522&gt;=DATE(2015,9,9),A522&lt;=DATE(2015,9,22)),"Baseline 2",IF(AND(A522&gt;=DATE(2016,6,23),A522&lt;=DATE(2016,7,6)),"Promo 3",IF(AND(A522&gt;=DATE(2016,6,9),A522&lt;=DATE(2016,6,22)),"Baseline 3","Other"))))))</f>
        <v>Other</v>
      </c>
    </row>
    <row r="523" customFormat="false" ht="15" hidden="false" customHeight="true" outlineLevel="0" collapsed="false">
      <c r="A523" s="12" t="n">
        <v>42159</v>
      </c>
      <c r="B523" s="13" t="n">
        <v>201146.48927983</v>
      </c>
      <c r="C523" s="13" t="n">
        <v>216428.500437961</v>
      </c>
      <c r="D523" s="14" t="n">
        <v>5326</v>
      </c>
      <c r="E523" s="15" t="n">
        <f aca="false">B523/D523</f>
        <v>37.7668962222738</v>
      </c>
      <c r="F523" s="15" t="n">
        <f aca="false">C523/D523</f>
        <v>40.6362186327377</v>
      </c>
      <c r="G523" s="13" t="n">
        <f aca="false">B523-C523</f>
        <v>-15282.011158131</v>
      </c>
      <c r="H523" s="16" t="n">
        <f aca="false">G523/B523</f>
        <v>-0.0759745358362731</v>
      </c>
      <c r="I523" s="15" t="n">
        <f aca="false">G523/D523</f>
        <v>-2.86932241046395</v>
      </c>
      <c r="J523" s="16" t="n">
        <f aca="false">I523/E523</f>
        <v>-0.0759745358362731</v>
      </c>
      <c r="K523" s="17" t="str">
        <f aca="false">TEXT(A523,"dddd")</f>
        <v>Thursday</v>
      </c>
      <c r="L523" s="17" t="str">
        <f aca="false">IF(AND(A523&gt;=DATE(2014,9,24),A523&lt;=DATE(2014,10,6)),"Promo 1",IF(AND(A523&gt;=DATE(2014,9,10),A523&lt;=DATE(2014,9,23)),"Baseline 1",IF(AND(A523&gt;=DATE(2015,9,23),A523&lt;=DATE(2015,10,6)),"Promo 2",IF(AND(A523&gt;=DATE(2015,9,9),A523&lt;=DATE(2015,9,22)),"Baseline 2",IF(AND(A523&gt;=DATE(2016,6,23),A523&lt;=DATE(2016,7,6)),"Promo 3",IF(AND(A523&gt;=DATE(2016,6,9),A523&lt;=DATE(2016,6,22)),"Baseline 3","Other"))))))</f>
        <v>Other</v>
      </c>
    </row>
    <row r="524" customFormat="false" ht="15" hidden="false" customHeight="true" outlineLevel="0" collapsed="false">
      <c r="A524" s="12" t="n">
        <v>42160</v>
      </c>
      <c r="B524" s="13" t="n">
        <v>293461.083938186</v>
      </c>
      <c r="C524" s="13" t="n">
        <v>315937.862196594</v>
      </c>
      <c r="D524" s="14" t="n">
        <v>7775</v>
      </c>
      <c r="E524" s="15" t="n">
        <f aca="false">B524/D524</f>
        <v>37.7441908602169</v>
      </c>
      <c r="F524" s="15" t="n">
        <f aca="false">C524/D524</f>
        <v>40.6350948162822</v>
      </c>
      <c r="G524" s="13" t="n">
        <f aca="false">B524-C524</f>
        <v>-22476.778258408</v>
      </c>
      <c r="H524" s="16" t="n">
        <f aca="false">G524/B524</f>
        <v>-0.0765920235718289</v>
      </c>
      <c r="I524" s="15" t="n">
        <f aca="false">G524/D524</f>
        <v>-2.89090395606534</v>
      </c>
      <c r="J524" s="16" t="n">
        <f aca="false">I524/E524</f>
        <v>-0.0765920235718289</v>
      </c>
      <c r="K524" s="17" t="str">
        <f aca="false">TEXT(A524,"dddd")</f>
        <v>Friday</v>
      </c>
      <c r="L524" s="17" t="str">
        <f aca="false">IF(AND(A524&gt;=DATE(2014,9,24),A524&lt;=DATE(2014,10,6)),"Promo 1",IF(AND(A524&gt;=DATE(2014,9,10),A524&lt;=DATE(2014,9,23)),"Baseline 1",IF(AND(A524&gt;=DATE(2015,9,23),A524&lt;=DATE(2015,10,6)),"Promo 2",IF(AND(A524&gt;=DATE(2015,9,9),A524&lt;=DATE(2015,9,22)),"Baseline 2",IF(AND(A524&gt;=DATE(2016,6,23),A524&lt;=DATE(2016,7,6)),"Promo 3",IF(AND(A524&gt;=DATE(2016,6,9),A524&lt;=DATE(2016,6,22)),"Baseline 3","Other"))))))</f>
        <v>Other</v>
      </c>
    </row>
    <row r="525" customFormat="false" ht="15" hidden="false" customHeight="true" outlineLevel="0" collapsed="false">
      <c r="A525" s="12" t="n">
        <v>42161</v>
      </c>
      <c r="B525" s="13" t="n">
        <v>349413.009820467</v>
      </c>
      <c r="C525" s="13" t="n">
        <v>376094.721805833</v>
      </c>
      <c r="D525" s="14" t="n">
        <v>9255</v>
      </c>
      <c r="E525" s="15" t="n">
        <f aca="false">B525/D525</f>
        <v>37.7539718876788</v>
      </c>
      <c r="F525" s="15" t="n">
        <f aca="false">C525/D525</f>
        <v>40.6369229395822</v>
      </c>
      <c r="G525" s="13" t="n">
        <f aca="false">B525-C525</f>
        <v>-26681.711985366</v>
      </c>
      <c r="H525" s="16" t="n">
        <f aca="false">G525/B525</f>
        <v>-0.0763615298671204</v>
      </c>
      <c r="I525" s="15" t="n">
        <f aca="false">G525/D525</f>
        <v>-2.88295105190341</v>
      </c>
      <c r="J525" s="16" t="n">
        <f aca="false">I525/E525</f>
        <v>-0.0763615298671204</v>
      </c>
      <c r="K525" s="17" t="str">
        <f aca="false">TEXT(A525,"dddd")</f>
        <v>Saturday</v>
      </c>
      <c r="L525" s="17" t="str">
        <f aca="false">IF(AND(A525&gt;=DATE(2014,9,24),A525&lt;=DATE(2014,10,6)),"Promo 1",IF(AND(A525&gt;=DATE(2014,9,10),A525&lt;=DATE(2014,9,23)),"Baseline 1",IF(AND(A525&gt;=DATE(2015,9,23),A525&lt;=DATE(2015,10,6)),"Promo 2",IF(AND(A525&gt;=DATE(2015,9,9),A525&lt;=DATE(2015,9,22)),"Baseline 2",IF(AND(A525&gt;=DATE(2016,6,23),A525&lt;=DATE(2016,7,6)),"Promo 3",IF(AND(A525&gt;=DATE(2016,6,9),A525&lt;=DATE(2016,6,22)),"Baseline 3","Other"))))))</f>
        <v>Other</v>
      </c>
    </row>
    <row r="526" customFormat="false" ht="15" hidden="false" customHeight="true" outlineLevel="0" collapsed="false">
      <c r="A526" s="12" t="n">
        <v>42162</v>
      </c>
      <c r="B526" s="13" t="n">
        <v>179602.91516319</v>
      </c>
      <c r="C526" s="13" t="n">
        <v>193348.591446229</v>
      </c>
      <c r="D526" s="14" t="n">
        <v>4758</v>
      </c>
      <c r="E526" s="15" t="n">
        <f aca="false">B526/D526</f>
        <v>37.7475651877238</v>
      </c>
      <c r="F526" s="15" t="n">
        <f aca="false">C526/D526</f>
        <v>40.6365261551553</v>
      </c>
      <c r="G526" s="13" t="n">
        <f aca="false">B526-C526</f>
        <v>-13745.676283039</v>
      </c>
      <c r="H526" s="16" t="n">
        <f aca="false">G526/B526</f>
        <v>-0.0765337036458984</v>
      </c>
      <c r="I526" s="15" t="n">
        <f aca="false">G526/D526</f>
        <v>-2.88896096743149</v>
      </c>
      <c r="J526" s="16" t="n">
        <f aca="false">I526/E526</f>
        <v>-0.0765337036458984</v>
      </c>
      <c r="K526" s="17" t="str">
        <f aca="false">TEXT(A526,"dddd")</f>
        <v>Sunday</v>
      </c>
      <c r="L526" s="17" t="str">
        <f aca="false">IF(AND(A526&gt;=DATE(2014,9,24),A526&lt;=DATE(2014,10,6)),"Promo 1",IF(AND(A526&gt;=DATE(2014,9,10),A526&lt;=DATE(2014,9,23)),"Baseline 1",IF(AND(A526&gt;=DATE(2015,9,23),A526&lt;=DATE(2015,10,6)),"Promo 2",IF(AND(A526&gt;=DATE(2015,9,9),A526&lt;=DATE(2015,9,22)),"Baseline 2",IF(AND(A526&gt;=DATE(2016,6,23),A526&lt;=DATE(2016,7,6)),"Promo 3",IF(AND(A526&gt;=DATE(2016,6,9),A526&lt;=DATE(2016,6,22)),"Baseline 3","Other"))))))</f>
        <v>Other</v>
      </c>
    </row>
    <row r="527" customFormat="false" ht="15" hidden="false" customHeight="true" outlineLevel="0" collapsed="false">
      <c r="A527" s="12" t="n">
        <v>42163</v>
      </c>
      <c r="B527" s="13" t="n">
        <v>109810.545675718</v>
      </c>
      <c r="C527" s="13" t="n">
        <v>106166.081621258</v>
      </c>
      <c r="D527" s="14" t="n">
        <v>2613</v>
      </c>
      <c r="E527" s="15" t="n">
        <f aca="false">B527/D527</f>
        <v>42.0247017511359</v>
      </c>
      <c r="F527" s="15" t="n">
        <f aca="false">C527/D527</f>
        <v>40.6299585232522</v>
      </c>
      <c r="G527" s="13" t="n">
        <f aca="false">B527-C527</f>
        <v>3644.46405446001</v>
      </c>
      <c r="H527" s="16" t="n">
        <f aca="false">G527/B527</f>
        <v>0.0331886526201454</v>
      </c>
      <c r="I527" s="15" t="n">
        <f aca="false">G527/D527</f>
        <v>1.39474322788366</v>
      </c>
      <c r="J527" s="16" t="n">
        <f aca="false">I527/E527</f>
        <v>0.0331886526201454</v>
      </c>
      <c r="K527" s="17" t="str">
        <f aca="false">TEXT(A527,"dddd")</f>
        <v>Monday</v>
      </c>
      <c r="L527" s="17" t="str">
        <f aca="false">IF(AND(A527&gt;=DATE(2014,9,24),A527&lt;=DATE(2014,10,6)),"Promo 1",IF(AND(A527&gt;=DATE(2014,9,10),A527&lt;=DATE(2014,9,23)),"Baseline 1",IF(AND(A527&gt;=DATE(2015,9,23),A527&lt;=DATE(2015,10,6)),"Promo 2",IF(AND(A527&gt;=DATE(2015,9,9),A527&lt;=DATE(2015,9,22)),"Baseline 2",IF(AND(A527&gt;=DATE(2016,6,23),A527&lt;=DATE(2016,7,6)),"Promo 3",IF(AND(A527&gt;=DATE(2016,6,9),A527&lt;=DATE(2016,6,22)),"Baseline 3","Other"))))))</f>
        <v>Other</v>
      </c>
    </row>
    <row r="528" customFormat="false" ht="15" hidden="false" customHeight="true" outlineLevel="0" collapsed="false">
      <c r="A528" s="12" t="n">
        <v>42164</v>
      </c>
      <c r="B528" s="13" t="n">
        <v>76956.9203536496</v>
      </c>
      <c r="C528" s="13" t="n">
        <v>74212.7905745494</v>
      </c>
      <c r="D528" s="14" t="n">
        <v>1830</v>
      </c>
      <c r="E528" s="15" t="n">
        <f aca="false">B528/D528</f>
        <v>42.052961941885</v>
      </c>
      <c r="F528" s="15" t="n">
        <f aca="false">C528/D528</f>
        <v>40.5534374724314</v>
      </c>
      <c r="G528" s="13" t="n">
        <f aca="false">B528-C528</f>
        <v>2744.1297791002</v>
      </c>
      <c r="H528" s="16" t="n">
        <f aca="false">G528/B528</f>
        <v>0.0356579988711835</v>
      </c>
      <c r="I528" s="15" t="n">
        <f aca="false">G528/D528</f>
        <v>1.49952446945366</v>
      </c>
      <c r="J528" s="16" t="n">
        <f aca="false">I528/E528</f>
        <v>0.0356579988711835</v>
      </c>
      <c r="K528" s="17" t="str">
        <f aca="false">TEXT(A528,"dddd")</f>
        <v>Tuesday</v>
      </c>
      <c r="L528" s="17" t="str">
        <f aca="false">IF(AND(A528&gt;=DATE(2014,9,24),A528&lt;=DATE(2014,10,6)),"Promo 1",IF(AND(A528&gt;=DATE(2014,9,10),A528&lt;=DATE(2014,9,23)),"Baseline 1",IF(AND(A528&gt;=DATE(2015,9,23),A528&lt;=DATE(2015,10,6)),"Promo 2",IF(AND(A528&gt;=DATE(2015,9,9),A528&lt;=DATE(2015,9,22)),"Baseline 2",IF(AND(A528&gt;=DATE(2016,6,23),A528&lt;=DATE(2016,7,6)),"Promo 3",IF(AND(A528&gt;=DATE(2016,6,9),A528&lt;=DATE(2016,6,22)),"Baseline 3","Other"))))))</f>
        <v>Other</v>
      </c>
    </row>
    <row r="529" customFormat="false" ht="15" hidden="false" customHeight="true" outlineLevel="0" collapsed="false">
      <c r="A529" s="12" t="n">
        <v>42165</v>
      </c>
      <c r="B529" s="13" t="n">
        <v>71199.5884020395</v>
      </c>
      <c r="C529" s="13" t="n">
        <v>68669.3949639163</v>
      </c>
      <c r="D529" s="14" t="n">
        <v>1694</v>
      </c>
      <c r="E529" s="15" t="n">
        <f aca="false">B529/D529</f>
        <v>42.0304536021485</v>
      </c>
      <c r="F529" s="15" t="n">
        <f aca="false">C529/D529</f>
        <v>40.5368329184866</v>
      </c>
      <c r="G529" s="13" t="n">
        <f aca="false">B529-C529</f>
        <v>2530.1934381232</v>
      </c>
      <c r="H529" s="16" t="n">
        <f aca="false">G529/B529</f>
        <v>0.0355366301253888</v>
      </c>
      <c r="I529" s="15" t="n">
        <f aca="false">G529/D529</f>
        <v>1.49362068366186</v>
      </c>
      <c r="J529" s="16" t="n">
        <f aca="false">I529/E529</f>
        <v>0.0355366301253888</v>
      </c>
      <c r="K529" s="17" t="str">
        <f aca="false">TEXT(A529,"dddd")</f>
        <v>Wednesday</v>
      </c>
      <c r="L529" s="17" t="str">
        <f aca="false">IF(AND(A529&gt;=DATE(2014,9,24),A529&lt;=DATE(2014,10,6)),"Promo 1",IF(AND(A529&gt;=DATE(2014,9,10),A529&lt;=DATE(2014,9,23)),"Baseline 1",IF(AND(A529&gt;=DATE(2015,9,23),A529&lt;=DATE(2015,10,6)),"Promo 2",IF(AND(A529&gt;=DATE(2015,9,9),A529&lt;=DATE(2015,9,22)),"Baseline 2",IF(AND(A529&gt;=DATE(2016,6,23),A529&lt;=DATE(2016,7,6)),"Promo 3",IF(AND(A529&gt;=DATE(2016,6,9),A529&lt;=DATE(2016,6,22)),"Baseline 3","Other"))))))</f>
        <v>Other</v>
      </c>
    </row>
    <row r="530" customFormat="false" ht="15" hidden="false" customHeight="true" outlineLevel="0" collapsed="false">
      <c r="A530" s="12" t="n">
        <v>42166</v>
      </c>
      <c r="B530" s="13" t="n">
        <v>68988.3466703248</v>
      </c>
      <c r="C530" s="13" t="n">
        <v>66539.165195768</v>
      </c>
      <c r="D530" s="14" t="n">
        <v>1642</v>
      </c>
      <c r="E530" s="15" t="n">
        <f aca="false">B530/D530</f>
        <v>42.0148274484317</v>
      </c>
      <c r="F530" s="15" t="n">
        <f aca="false">C530/D530</f>
        <v>40.5232431155713</v>
      </c>
      <c r="G530" s="13" t="n">
        <f aca="false">B530-C530</f>
        <v>2449.1814745568</v>
      </c>
      <c r="H530" s="16" t="n">
        <f aca="false">G530/B530</f>
        <v>0.0355013794758805</v>
      </c>
      <c r="I530" s="15" t="n">
        <f aca="false">G530/D530</f>
        <v>1.49158433286041</v>
      </c>
      <c r="J530" s="16" t="n">
        <f aca="false">I530/E530</f>
        <v>0.0355013794758805</v>
      </c>
      <c r="K530" s="17" t="str">
        <f aca="false">TEXT(A530,"dddd")</f>
        <v>Thursday</v>
      </c>
      <c r="L530" s="17" t="str">
        <f aca="false">IF(AND(A530&gt;=DATE(2014,9,24),A530&lt;=DATE(2014,10,6)),"Promo 1",IF(AND(A530&gt;=DATE(2014,9,10),A530&lt;=DATE(2014,9,23)),"Baseline 1",IF(AND(A530&gt;=DATE(2015,9,23),A530&lt;=DATE(2015,10,6)),"Promo 2",IF(AND(A530&gt;=DATE(2015,9,9),A530&lt;=DATE(2015,9,22)),"Baseline 2",IF(AND(A530&gt;=DATE(2016,6,23),A530&lt;=DATE(2016,7,6)),"Promo 3",IF(AND(A530&gt;=DATE(2016,6,9),A530&lt;=DATE(2016,6,22)),"Baseline 3","Other"))))))</f>
        <v>Other</v>
      </c>
    </row>
    <row r="531" customFormat="false" ht="15" hidden="false" customHeight="true" outlineLevel="0" collapsed="false">
      <c r="A531" s="12" t="n">
        <v>42167</v>
      </c>
      <c r="B531" s="13" t="n">
        <v>155156.879228006</v>
      </c>
      <c r="C531" s="13" t="n">
        <v>149423.243580907</v>
      </c>
      <c r="D531" s="14" t="n">
        <v>3690</v>
      </c>
      <c r="E531" s="15" t="n">
        <f aca="false">B531/D531</f>
        <v>42.0479347501371</v>
      </c>
      <c r="F531" s="15" t="n">
        <f aca="false">C531/D531</f>
        <v>40.4941039514653</v>
      </c>
      <c r="G531" s="13" t="n">
        <f aca="false">B531-C531</f>
        <v>5733.635647099</v>
      </c>
      <c r="H531" s="16" t="n">
        <f aca="false">G531/B531</f>
        <v>0.0369537958975916</v>
      </c>
      <c r="I531" s="15" t="n">
        <f aca="false">G531/D531</f>
        <v>1.55383079867182</v>
      </c>
      <c r="J531" s="16" t="n">
        <f aca="false">I531/E531</f>
        <v>0.0369537958975916</v>
      </c>
      <c r="K531" s="17" t="str">
        <f aca="false">TEXT(A531,"dddd")</f>
        <v>Friday</v>
      </c>
      <c r="L531" s="17" t="str">
        <f aca="false">IF(AND(A531&gt;=DATE(2014,9,24),A531&lt;=DATE(2014,10,6)),"Promo 1",IF(AND(A531&gt;=DATE(2014,9,10),A531&lt;=DATE(2014,9,23)),"Baseline 1",IF(AND(A531&gt;=DATE(2015,9,23),A531&lt;=DATE(2015,10,6)),"Promo 2",IF(AND(A531&gt;=DATE(2015,9,9),A531&lt;=DATE(2015,9,22)),"Baseline 2",IF(AND(A531&gt;=DATE(2016,6,23),A531&lt;=DATE(2016,7,6)),"Promo 3",IF(AND(A531&gt;=DATE(2016,6,9),A531&lt;=DATE(2016,6,22)),"Baseline 3","Other"))))))</f>
        <v>Other</v>
      </c>
    </row>
    <row r="532" customFormat="false" ht="15" hidden="false" customHeight="true" outlineLevel="0" collapsed="false">
      <c r="A532" s="12" t="n">
        <v>42168</v>
      </c>
      <c r="B532" s="13" t="n">
        <v>185109.523146014</v>
      </c>
      <c r="C532" s="13" t="n">
        <v>178347.369376849</v>
      </c>
      <c r="D532" s="14" t="n">
        <v>4404</v>
      </c>
      <c r="E532" s="15" t="n">
        <f aca="false">B532/D532</f>
        <v>42.0321351376054</v>
      </c>
      <c r="F532" s="15" t="n">
        <f aca="false">C532/D532</f>
        <v>40.4966778784852</v>
      </c>
      <c r="G532" s="13" t="n">
        <f aca="false">B532-C532</f>
        <v>6762.15376916499</v>
      </c>
      <c r="H532" s="16" t="n">
        <f aca="false">G532/B532</f>
        <v>0.0365305558257584</v>
      </c>
      <c r="I532" s="15" t="n">
        <f aca="false">G532/D532</f>
        <v>1.53545725912012</v>
      </c>
      <c r="J532" s="16" t="n">
        <f aca="false">I532/E532</f>
        <v>0.0365305558257584</v>
      </c>
      <c r="K532" s="17" t="str">
        <f aca="false">TEXT(A532,"dddd")</f>
        <v>Saturday</v>
      </c>
      <c r="L532" s="17" t="str">
        <f aca="false">IF(AND(A532&gt;=DATE(2014,9,24),A532&lt;=DATE(2014,10,6)),"Promo 1",IF(AND(A532&gt;=DATE(2014,9,10),A532&lt;=DATE(2014,9,23)),"Baseline 1",IF(AND(A532&gt;=DATE(2015,9,23),A532&lt;=DATE(2015,10,6)),"Promo 2",IF(AND(A532&gt;=DATE(2015,9,9),A532&lt;=DATE(2015,9,22)),"Baseline 2",IF(AND(A532&gt;=DATE(2016,6,23),A532&lt;=DATE(2016,7,6)),"Promo 3",IF(AND(A532&gt;=DATE(2016,6,9),A532&lt;=DATE(2016,6,22)),"Baseline 3","Other"))))))</f>
        <v>Other</v>
      </c>
    </row>
    <row r="533" customFormat="false" ht="15" hidden="false" customHeight="true" outlineLevel="0" collapsed="false">
      <c r="A533" s="12" t="n">
        <v>42169</v>
      </c>
      <c r="B533" s="13" t="n">
        <v>83779.5440108089</v>
      </c>
      <c r="C533" s="13" t="n">
        <v>80659.821812082</v>
      </c>
      <c r="D533" s="14" t="n">
        <v>1992</v>
      </c>
      <c r="E533" s="15" t="n">
        <f aca="false">B533/D533</f>
        <v>42.0580040214904</v>
      </c>
      <c r="F533" s="15" t="n">
        <f aca="false">C533/D533</f>
        <v>40.4918784197199</v>
      </c>
      <c r="G533" s="13" t="n">
        <f aca="false">B533-C533</f>
        <v>3119.7221987269</v>
      </c>
      <c r="H533" s="16" t="n">
        <f aca="false">G533/B533</f>
        <v>0.0372372783304288</v>
      </c>
      <c r="I533" s="15" t="n">
        <f aca="false">G533/D533</f>
        <v>1.56612560177053</v>
      </c>
      <c r="J533" s="16" t="n">
        <f aca="false">I533/E533</f>
        <v>0.0372372783304288</v>
      </c>
      <c r="K533" s="17" t="str">
        <f aca="false">TEXT(A533,"dddd")</f>
        <v>Sunday</v>
      </c>
      <c r="L533" s="17" t="str">
        <f aca="false">IF(AND(A533&gt;=DATE(2014,9,24),A533&lt;=DATE(2014,10,6)),"Promo 1",IF(AND(A533&gt;=DATE(2014,9,10),A533&lt;=DATE(2014,9,23)),"Baseline 1",IF(AND(A533&gt;=DATE(2015,9,23),A533&lt;=DATE(2015,10,6)),"Promo 2",IF(AND(A533&gt;=DATE(2015,9,9),A533&lt;=DATE(2015,9,22)),"Baseline 2",IF(AND(A533&gt;=DATE(2016,6,23),A533&lt;=DATE(2016,7,6)),"Promo 3",IF(AND(A533&gt;=DATE(2016,6,9),A533&lt;=DATE(2016,6,22)),"Baseline 3","Other"))))))</f>
        <v>Other</v>
      </c>
    </row>
    <row r="534" customFormat="false" ht="15" hidden="false" customHeight="true" outlineLevel="0" collapsed="false">
      <c r="A534" s="12" t="n">
        <v>42170</v>
      </c>
      <c r="B534" s="13" t="n">
        <v>149501.574530758</v>
      </c>
      <c r="C534" s="13" t="n">
        <v>143962.871892902</v>
      </c>
      <c r="D534" s="14" t="n">
        <v>3557</v>
      </c>
      <c r="E534" s="15" t="n">
        <f aca="false">B534/D534</f>
        <v>42.0302430505364</v>
      </c>
      <c r="F534" s="15" t="n">
        <f aca="false">C534/D534</f>
        <v>40.4731155167</v>
      </c>
      <c r="G534" s="13" t="n">
        <f aca="false">B534-C534</f>
        <v>5538.70263785598</v>
      </c>
      <c r="H534" s="16" t="n">
        <f aca="false">G534/B534</f>
        <v>0.0370477879931389</v>
      </c>
      <c r="I534" s="15" t="n">
        <f aca="false">G534/D534</f>
        <v>1.55712753383637</v>
      </c>
      <c r="J534" s="16" t="n">
        <f aca="false">I534/E534</f>
        <v>0.0370477879931389</v>
      </c>
      <c r="K534" s="17" t="str">
        <f aca="false">TEXT(A534,"dddd")</f>
        <v>Monday</v>
      </c>
      <c r="L534" s="17" t="str">
        <f aca="false">IF(AND(A534&gt;=DATE(2014,9,24),A534&lt;=DATE(2014,10,6)),"Promo 1",IF(AND(A534&gt;=DATE(2014,9,10),A534&lt;=DATE(2014,9,23)),"Baseline 1",IF(AND(A534&gt;=DATE(2015,9,23),A534&lt;=DATE(2015,10,6)),"Promo 2",IF(AND(A534&gt;=DATE(2015,9,9),A534&lt;=DATE(2015,9,22)),"Baseline 2",IF(AND(A534&gt;=DATE(2016,6,23),A534&lt;=DATE(2016,7,6)),"Promo 3",IF(AND(A534&gt;=DATE(2016,6,9),A534&lt;=DATE(2016,6,22)),"Baseline 3","Other"))))))</f>
        <v>Other</v>
      </c>
    </row>
    <row r="535" customFormat="false" ht="15" hidden="false" customHeight="true" outlineLevel="0" collapsed="false">
      <c r="A535" s="12" t="n">
        <v>42171</v>
      </c>
      <c r="B535" s="13" t="n">
        <v>100477.296792604</v>
      </c>
      <c r="C535" s="13" t="n">
        <v>96810.1035815691</v>
      </c>
      <c r="D535" s="14" t="n">
        <v>2395</v>
      </c>
      <c r="E535" s="15" t="n">
        <f aca="false">B535/D535</f>
        <v>41.9529422933628</v>
      </c>
      <c r="F535" s="15" t="n">
        <f aca="false">C535/D535</f>
        <v>40.4217551488806</v>
      </c>
      <c r="G535" s="13" t="n">
        <f aca="false">B535-C535</f>
        <v>3667.1932110349</v>
      </c>
      <c r="H535" s="16" t="n">
        <f aca="false">G535/B535</f>
        <v>0.0364977296175114</v>
      </c>
      <c r="I535" s="15" t="n">
        <f aca="false">G535/D535</f>
        <v>1.53118714448221</v>
      </c>
      <c r="J535" s="16" t="n">
        <f aca="false">I535/E535</f>
        <v>0.0364977296175114</v>
      </c>
      <c r="K535" s="17" t="str">
        <f aca="false">TEXT(A535,"dddd")</f>
        <v>Tuesday</v>
      </c>
      <c r="L535" s="17" t="str">
        <f aca="false">IF(AND(A535&gt;=DATE(2014,9,24),A535&lt;=DATE(2014,10,6)),"Promo 1",IF(AND(A535&gt;=DATE(2014,9,10),A535&lt;=DATE(2014,9,23)),"Baseline 1",IF(AND(A535&gt;=DATE(2015,9,23),A535&lt;=DATE(2015,10,6)),"Promo 2",IF(AND(A535&gt;=DATE(2015,9,9),A535&lt;=DATE(2015,9,22)),"Baseline 2",IF(AND(A535&gt;=DATE(2016,6,23),A535&lt;=DATE(2016,7,6)),"Promo 3",IF(AND(A535&gt;=DATE(2016,6,9),A535&lt;=DATE(2016,6,22)),"Baseline 3","Other"))))))</f>
        <v>Other</v>
      </c>
    </row>
    <row r="536" customFormat="false" ht="15" hidden="false" customHeight="true" outlineLevel="0" collapsed="false">
      <c r="A536" s="12" t="n">
        <v>42172</v>
      </c>
      <c r="B536" s="13" t="n">
        <v>89072.7053470792</v>
      </c>
      <c r="C536" s="13" t="n">
        <v>85639.3077459946</v>
      </c>
      <c r="D536" s="14" t="n">
        <v>2120</v>
      </c>
      <c r="E536" s="15" t="n">
        <f aca="false">B536/D536</f>
        <v>42.0154270505091</v>
      </c>
      <c r="F536" s="15" t="n">
        <f aca="false">C536/D536</f>
        <v>40.3958998801861</v>
      </c>
      <c r="G536" s="13" t="n">
        <f aca="false">B536-C536</f>
        <v>3433.39760108459</v>
      </c>
      <c r="H536" s="16" t="n">
        <f aca="false">G536/B536</f>
        <v>0.038546012358175</v>
      </c>
      <c r="I536" s="15" t="n">
        <f aca="false">G536/D536</f>
        <v>1.61952717032292</v>
      </c>
      <c r="J536" s="16" t="n">
        <f aca="false">I536/E536</f>
        <v>0.038546012358175</v>
      </c>
      <c r="K536" s="17" t="str">
        <f aca="false">TEXT(A536,"dddd")</f>
        <v>Wednesday</v>
      </c>
      <c r="L536" s="17" t="str">
        <f aca="false">IF(AND(A536&gt;=DATE(2014,9,24),A536&lt;=DATE(2014,10,6)),"Promo 1",IF(AND(A536&gt;=DATE(2014,9,10),A536&lt;=DATE(2014,9,23)),"Baseline 1",IF(AND(A536&gt;=DATE(2015,9,23),A536&lt;=DATE(2015,10,6)),"Promo 2",IF(AND(A536&gt;=DATE(2015,9,9),A536&lt;=DATE(2015,9,22)),"Baseline 2",IF(AND(A536&gt;=DATE(2016,6,23),A536&lt;=DATE(2016,7,6)),"Promo 3",IF(AND(A536&gt;=DATE(2016,6,9),A536&lt;=DATE(2016,6,22)),"Baseline 3","Other"))))))</f>
        <v>Other</v>
      </c>
    </row>
    <row r="537" customFormat="false" ht="15" hidden="false" customHeight="true" outlineLevel="0" collapsed="false">
      <c r="A537" s="12" t="n">
        <v>42173</v>
      </c>
      <c r="B537" s="13" t="n">
        <v>78746.5958575195</v>
      </c>
      <c r="C537" s="13" t="n">
        <v>75673.7819874157</v>
      </c>
      <c r="D537" s="14" t="n">
        <v>1875</v>
      </c>
      <c r="E537" s="15" t="n">
        <f aca="false">B537/D537</f>
        <v>41.9981844573437</v>
      </c>
      <c r="F537" s="15" t="n">
        <f aca="false">C537/D537</f>
        <v>40.3593503932884</v>
      </c>
      <c r="G537" s="13" t="n">
        <f aca="false">B537-C537</f>
        <v>3072.8138701038</v>
      </c>
      <c r="H537" s="16" t="n">
        <f aca="false">G537/B537</f>
        <v>0.0390215454603727</v>
      </c>
      <c r="I537" s="15" t="n">
        <f aca="false">G537/D537</f>
        <v>1.63883406405536</v>
      </c>
      <c r="J537" s="16" t="n">
        <f aca="false">I537/E537</f>
        <v>0.0390215454603727</v>
      </c>
      <c r="K537" s="17" t="str">
        <f aca="false">TEXT(A537,"dddd")</f>
        <v>Thursday</v>
      </c>
      <c r="L537" s="17" t="str">
        <f aca="false">IF(AND(A537&gt;=DATE(2014,9,24),A537&lt;=DATE(2014,10,6)),"Promo 1",IF(AND(A537&gt;=DATE(2014,9,10),A537&lt;=DATE(2014,9,23)),"Baseline 1",IF(AND(A537&gt;=DATE(2015,9,23),A537&lt;=DATE(2015,10,6)),"Promo 2",IF(AND(A537&gt;=DATE(2015,9,9),A537&lt;=DATE(2015,9,22)),"Baseline 2",IF(AND(A537&gt;=DATE(2016,6,23),A537&lt;=DATE(2016,7,6)),"Promo 3",IF(AND(A537&gt;=DATE(2016,6,9),A537&lt;=DATE(2016,6,22)),"Baseline 3","Other"))))))</f>
        <v>Other</v>
      </c>
    </row>
    <row r="538" customFormat="false" ht="15" hidden="false" customHeight="true" outlineLevel="0" collapsed="false">
      <c r="A538" s="12" t="n">
        <v>42174</v>
      </c>
      <c r="B538" s="13" t="n">
        <v>141913.382429546</v>
      </c>
      <c r="C538" s="13" t="n">
        <v>136017.750393757</v>
      </c>
      <c r="D538" s="14" t="n">
        <v>3376</v>
      </c>
      <c r="E538" s="15" t="n">
        <f aca="false">B538/D538</f>
        <v>42.0359545111214</v>
      </c>
      <c r="F538" s="15" t="n">
        <f aca="false">C538/D538</f>
        <v>40.2896180076295</v>
      </c>
      <c r="G538" s="13" t="n">
        <f aca="false">B538-C538</f>
        <v>5895.63203578899</v>
      </c>
      <c r="H538" s="16" t="n">
        <f aca="false">G538/B538</f>
        <v>0.0415438765171842</v>
      </c>
      <c r="I538" s="15" t="n">
        <f aca="false">G538/D538</f>
        <v>1.746336503492</v>
      </c>
      <c r="J538" s="16" t="n">
        <f aca="false">I538/E538</f>
        <v>0.0415438765171842</v>
      </c>
      <c r="K538" s="17" t="str">
        <f aca="false">TEXT(A538,"dddd")</f>
        <v>Friday</v>
      </c>
      <c r="L538" s="17" t="str">
        <f aca="false">IF(AND(A538&gt;=DATE(2014,9,24),A538&lt;=DATE(2014,10,6)),"Promo 1",IF(AND(A538&gt;=DATE(2014,9,10),A538&lt;=DATE(2014,9,23)),"Baseline 1",IF(AND(A538&gt;=DATE(2015,9,23),A538&lt;=DATE(2015,10,6)),"Promo 2",IF(AND(A538&gt;=DATE(2015,9,9),A538&lt;=DATE(2015,9,22)),"Baseline 2",IF(AND(A538&gt;=DATE(2016,6,23),A538&lt;=DATE(2016,7,6)),"Promo 3",IF(AND(A538&gt;=DATE(2016,6,9),A538&lt;=DATE(2016,6,22)),"Baseline 3","Other"))))))</f>
        <v>Other</v>
      </c>
    </row>
    <row r="539" customFormat="false" ht="15" hidden="false" customHeight="true" outlineLevel="0" collapsed="false">
      <c r="A539" s="12" t="n">
        <v>42175</v>
      </c>
      <c r="B539" s="13" t="n">
        <v>169304.278283515</v>
      </c>
      <c r="C539" s="13" t="n">
        <v>162287.909224824</v>
      </c>
      <c r="D539" s="14" t="n">
        <v>4027</v>
      </c>
      <c r="E539" s="15" t="n">
        <f aca="false">B539/D539</f>
        <v>42.042284152847</v>
      </c>
      <c r="F539" s="15" t="n">
        <f aca="false">C539/D539</f>
        <v>40.2999526259806</v>
      </c>
      <c r="G539" s="13" t="n">
        <f aca="false">B539-C539</f>
        <v>7016.36905869102</v>
      </c>
      <c r="H539" s="16" t="n">
        <f aca="false">G539/B539</f>
        <v>0.0414423612316606</v>
      </c>
      <c r="I539" s="15" t="n">
        <f aca="false">G539/D539</f>
        <v>1.74233152686641</v>
      </c>
      <c r="J539" s="16" t="n">
        <f aca="false">I539/E539</f>
        <v>0.0414423612316606</v>
      </c>
      <c r="K539" s="17" t="str">
        <f aca="false">TEXT(A539,"dddd")</f>
        <v>Saturday</v>
      </c>
      <c r="L539" s="17" t="str">
        <f aca="false">IF(AND(A539&gt;=DATE(2014,9,24),A539&lt;=DATE(2014,10,6)),"Promo 1",IF(AND(A539&gt;=DATE(2014,9,10),A539&lt;=DATE(2014,9,23)),"Baseline 1",IF(AND(A539&gt;=DATE(2015,9,23),A539&lt;=DATE(2015,10,6)),"Promo 2",IF(AND(A539&gt;=DATE(2015,9,9),A539&lt;=DATE(2015,9,22)),"Baseline 2",IF(AND(A539&gt;=DATE(2016,6,23),A539&lt;=DATE(2016,7,6)),"Promo 3",IF(AND(A539&gt;=DATE(2016,6,9),A539&lt;=DATE(2016,6,22)),"Baseline 3","Other"))))))</f>
        <v>Other</v>
      </c>
    </row>
    <row r="540" customFormat="false" ht="15" hidden="false" customHeight="true" outlineLevel="0" collapsed="false">
      <c r="A540" s="12" t="n">
        <v>42176</v>
      </c>
      <c r="B540" s="13" t="n">
        <v>89512.2428360684</v>
      </c>
      <c r="C540" s="13" t="n">
        <v>85781.8070312297</v>
      </c>
      <c r="D540" s="14" t="n">
        <v>2128</v>
      </c>
      <c r="E540" s="15" t="n">
        <f aca="false">B540/D540</f>
        <v>42.0640238891299</v>
      </c>
      <c r="F540" s="15" t="n">
        <f aca="false">C540/D540</f>
        <v>40.3109995447508</v>
      </c>
      <c r="G540" s="13" t="n">
        <f aca="false">B540-C540</f>
        <v>3730.43580483869</v>
      </c>
      <c r="H540" s="16" t="n">
        <f aca="false">G540/B540</f>
        <v>0.0416751461771611</v>
      </c>
      <c r="I540" s="15" t="n">
        <f aca="false">G540/D540</f>
        <v>1.75302434437909</v>
      </c>
      <c r="J540" s="16" t="n">
        <f aca="false">I540/E540</f>
        <v>0.0416751461771611</v>
      </c>
      <c r="K540" s="17" t="str">
        <f aca="false">TEXT(A540,"dddd")</f>
        <v>Sunday</v>
      </c>
      <c r="L540" s="17" t="str">
        <f aca="false">IF(AND(A540&gt;=DATE(2014,9,24),A540&lt;=DATE(2014,10,6)),"Promo 1",IF(AND(A540&gt;=DATE(2014,9,10),A540&lt;=DATE(2014,9,23)),"Baseline 1",IF(AND(A540&gt;=DATE(2015,9,23),A540&lt;=DATE(2015,10,6)),"Promo 2",IF(AND(A540&gt;=DATE(2015,9,9),A540&lt;=DATE(2015,9,22)),"Baseline 2",IF(AND(A540&gt;=DATE(2016,6,23),A540&lt;=DATE(2016,7,6)),"Promo 3",IF(AND(A540&gt;=DATE(2016,6,9),A540&lt;=DATE(2016,6,22)),"Baseline 3","Other"))))))</f>
        <v>Other</v>
      </c>
    </row>
    <row r="541" customFormat="false" ht="15" hidden="false" customHeight="true" outlineLevel="0" collapsed="false">
      <c r="A541" s="12" t="n">
        <v>42177</v>
      </c>
      <c r="B541" s="13" t="n">
        <v>85984.0753391392</v>
      </c>
      <c r="C541" s="13" t="n">
        <v>82427.2315369071</v>
      </c>
      <c r="D541" s="14" t="n">
        <v>2046</v>
      </c>
      <c r="E541" s="15" t="n">
        <f aca="false">B541/D541</f>
        <v>42.025452267419</v>
      </c>
      <c r="F541" s="15" t="n">
        <f aca="false">C541/D541</f>
        <v>40.287014436416</v>
      </c>
      <c r="G541" s="13" t="n">
        <f aca="false">B541-C541</f>
        <v>3556.84380223211</v>
      </c>
      <c r="H541" s="16" t="n">
        <f aca="false">G541/B541</f>
        <v>0.0413663086821969</v>
      </c>
      <c r="I541" s="15" t="n">
        <f aca="false">G541/D541</f>
        <v>1.73843783100298</v>
      </c>
      <c r="J541" s="16" t="n">
        <f aca="false">I541/E541</f>
        <v>0.0413663086821969</v>
      </c>
      <c r="K541" s="17" t="str">
        <f aca="false">TEXT(A541,"dddd")</f>
        <v>Monday</v>
      </c>
      <c r="L541" s="17" t="str">
        <f aca="false">IF(AND(A541&gt;=DATE(2014,9,24),A541&lt;=DATE(2014,10,6)),"Promo 1",IF(AND(A541&gt;=DATE(2014,9,10),A541&lt;=DATE(2014,9,23)),"Baseline 1",IF(AND(A541&gt;=DATE(2015,9,23),A541&lt;=DATE(2015,10,6)),"Promo 2",IF(AND(A541&gt;=DATE(2015,9,9),A541&lt;=DATE(2015,9,22)),"Baseline 2",IF(AND(A541&gt;=DATE(2016,6,23),A541&lt;=DATE(2016,7,6)),"Promo 3",IF(AND(A541&gt;=DATE(2016,6,9),A541&lt;=DATE(2016,6,22)),"Baseline 3","Other"))))))</f>
        <v>Other</v>
      </c>
    </row>
    <row r="542" customFormat="false" ht="15" hidden="false" customHeight="true" outlineLevel="0" collapsed="false">
      <c r="A542" s="12" t="n">
        <v>42178</v>
      </c>
      <c r="B542" s="13" t="n">
        <v>64956.4620758996</v>
      </c>
      <c r="C542" s="13" t="n">
        <v>62169.7771248572</v>
      </c>
      <c r="D542" s="14" t="n">
        <v>1546</v>
      </c>
      <c r="E542" s="15" t="n">
        <f aca="false">B542/D542</f>
        <v>42.0158228175289</v>
      </c>
      <c r="F542" s="15" t="n">
        <f aca="false">C542/D542</f>
        <v>40.2133099125855</v>
      </c>
      <c r="G542" s="13" t="n">
        <f aca="false">B542-C542</f>
        <v>2786.6849510424</v>
      </c>
      <c r="H542" s="16" t="n">
        <f aca="false">G542/B542</f>
        <v>0.0429008117435067</v>
      </c>
      <c r="I542" s="15" t="n">
        <f aca="false">G542/D542</f>
        <v>1.80251290494334</v>
      </c>
      <c r="J542" s="16" t="n">
        <f aca="false">I542/E542</f>
        <v>0.0429008117435067</v>
      </c>
      <c r="K542" s="17" t="str">
        <f aca="false">TEXT(A542,"dddd")</f>
        <v>Tuesday</v>
      </c>
      <c r="L542" s="17" t="str">
        <f aca="false">IF(AND(A542&gt;=DATE(2014,9,24),A542&lt;=DATE(2014,10,6)),"Promo 1",IF(AND(A542&gt;=DATE(2014,9,10),A542&lt;=DATE(2014,9,23)),"Baseline 1",IF(AND(A542&gt;=DATE(2015,9,23),A542&lt;=DATE(2015,10,6)),"Promo 2",IF(AND(A542&gt;=DATE(2015,9,9),A542&lt;=DATE(2015,9,22)),"Baseline 2",IF(AND(A542&gt;=DATE(2016,6,23),A542&lt;=DATE(2016,7,6)),"Promo 3",IF(AND(A542&gt;=DATE(2016,6,9),A542&lt;=DATE(2016,6,22)),"Baseline 3","Other"))))))</f>
        <v>Other</v>
      </c>
    </row>
    <row r="543" customFormat="false" ht="15" hidden="false" customHeight="true" outlineLevel="0" collapsed="false">
      <c r="A543" s="12" t="n">
        <v>42179</v>
      </c>
      <c r="B543" s="13" t="n">
        <v>106613.432835479</v>
      </c>
      <c r="C543" s="13" t="n">
        <v>113428.474274667</v>
      </c>
      <c r="D543" s="14" t="n">
        <v>2822</v>
      </c>
      <c r="E543" s="15" t="n">
        <f aca="false">B543/D543</f>
        <v>37.7793879643795</v>
      </c>
      <c r="F543" s="15" t="n">
        <f aca="false">C543/D543</f>
        <v>40.1943565820932</v>
      </c>
      <c r="G543" s="13" t="n">
        <f aca="false">B543-C543</f>
        <v>-6815.04143918799</v>
      </c>
      <c r="H543" s="16" t="n">
        <f aca="false">G543/B543</f>
        <v>-0.0639229153206674</v>
      </c>
      <c r="I543" s="15" t="n">
        <f aca="false">G543/D543</f>
        <v>-2.41496861771367</v>
      </c>
      <c r="J543" s="16" t="n">
        <f aca="false">I543/E543</f>
        <v>-0.0639229153206674</v>
      </c>
      <c r="K543" s="17" t="str">
        <f aca="false">TEXT(A543,"dddd")</f>
        <v>Wednesday</v>
      </c>
      <c r="L543" s="17" t="str">
        <f aca="false">IF(AND(A543&gt;=DATE(2014,9,24),A543&lt;=DATE(2014,10,6)),"Promo 1",IF(AND(A543&gt;=DATE(2014,9,10),A543&lt;=DATE(2014,9,23)),"Baseline 1",IF(AND(A543&gt;=DATE(2015,9,23),A543&lt;=DATE(2015,10,6)),"Promo 2",IF(AND(A543&gt;=DATE(2015,9,9),A543&lt;=DATE(2015,9,22)),"Baseline 2",IF(AND(A543&gt;=DATE(2016,6,23),A543&lt;=DATE(2016,7,6)),"Promo 3",IF(AND(A543&gt;=DATE(2016,6,9),A543&lt;=DATE(2016,6,22)),"Baseline 3","Other"))))))</f>
        <v>Other</v>
      </c>
    </row>
    <row r="544" customFormat="false" ht="15" hidden="false" customHeight="true" outlineLevel="0" collapsed="false">
      <c r="A544" s="12" t="n">
        <v>42180</v>
      </c>
      <c r="B544" s="13" t="n">
        <v>183843.817295243</v>
      </c>
      <c r="C544" s="13" t="n">
        <v>195365.730719943</v>
      </c>
      <c r="D544" s="14" t="n">
        <v>4865</v>
      </c>
      <c r="E544" s="15" t="n">
        <f aca="false">B544/D544</f>
        <v>37.789068303236</v>
      </c>
      <c r="F544" s="15" t="n">
        <f aca="false">C544/D544</f>
        <v>40.1573958314374</v>
      </c>
      <c r="G544" s="13" t="n">
        <f aca="false">B544-C544</f>
        <v>-11521.9134247</v>
      </c>
      <c r="H544" s="16" t="n">
        <f aca="false">G544/B544</f>
        <v>-0.0626722921347768</v>
      </c>
      <c r="I544" s="15" t="n">
        <f aca="false">G544/D544</f>
        <v>-2.36832752820144</v>
      </c>
      <c r="J544" s="16" t="n">
        <f aca="false">I544/E544</f>
        <v>-0.0626722921347768</v>
      </c>
      <c r="K544" s="17" t="str">
        <f aca="false">TEXT(A544,"dddd")</f>
        <v>Thursday</v>
      </c>
      <c r="L544" s="17" t="str">
        <f aca="false">IF(AND(A544&gt;=DATE(2014,9,24),A544&lt;=DATE(2014,10,6)),"Promo 1",IF(AND(A544&gt;=DATE(2014,9,10),A544&lt;=DATE(2014,9,23)),"Baseline 1",IF(AND(A544&gt;=DATE(2015,9,23),A544&lt;=DATE(2015,10,6)),"Promo 2",IF(AND(A544&gt;=DATE(2015,9,9),A544&lt;=DATE(2015,9,22)),"Baseline 2",IF(AND(A544&gt;=DATE(2016,6,23),A544&lt;=DATE(2016,7,6)),"Promo 3",IF(AND(A544&gt;=DATE(2016,6,9),A544&lt;=DATE(2016,6,22)),"Baseline 3","Other"))))))</f>
        <v>Other</v>
      </c>
    </row>
    <row r="545" customFormat="false" ht="15" hidden="false" customHeight="true" outlineLevel="0" collapsed="false">
      <c r="A545" s="12" t="n">
        <v>42181</v>
      </c>
      <c r="B545" s="13" t="n">
        <v>319579.794094356</v>
      </c>
      <c r="C545" s="13" t="n">
        <v>339241.691802457</v>
      </c>
      <c r="D545" s="14" t="n">
        <v>8450</v>
      </c>
      <c r="E545" s="15" t="n">
        <f aca="false">B545/D545</f>
        <v>37.8200939756634</v>
      </c>
      <c r="F545" s="15" t="n">
        <f aca="false">C545/D545</f>
        <v>40.1469457754387</v>
      </c>
      <c r="G545" s="13" t="n">
        <f aca="false">B545-C545</f>
        <v>-19661.897708101</v>
      </c>
      <c r="H545" s="16" t="n">
        <f aca="false">G545/B545</f>
        <v>-0.0615242204652519</v>
      </c>
      <c r="I545" s="15" t="n">
        <f aca="false">G545/D545</f>
        <v>-2.32685179977526</v>
      </c>
      <c r="J545" s="16" t="n">
        <f aca="false">I545/E545</f>
        <v>-0.0615242204652519</v>
      </c>
      <c r="K545" s="17" t="str">
        <f aca="false">TEXT(A545,"dddd")</f>
        <v>Friday</v>
      </c>
      <c r="L545" s="17" t="str">
        <f aca="false">IF(AND(A545&gt;=DATE(2014,9,24),A545&lt;=DATE(2014,10,6)),"Promo 1",IF(AND(A545&gt;=DATE(2014,9,10),A545&lt;=DATE(2014,9,23)),"Baseline 1",IF(AND(A545&gt;=DATE(2015,9,23),A545&lt;=DATE(2015,10,6)),"Promo 2",IF(AND(A545&gt;=DATE(2015,9,9),A545&lt;=DATE(2015,9,22)),"Baseline 2",IF(AND(A545&gt;=DATE(2016,6,23),A545&lt;=DATE(2016,7,6)),"Promo 3",IF(AND(A545&gt;=DATE(2016,6,9),A545&lt;=DATE(2016,6,22)),"Baseline 3","Other"))))))</f>
        <v>Other</v>
      </c>
    </row>
    <row r="546" customFormat="false" ht="15" hidden="false" customHeight="true" outlineLevel="0" collapsed="false">
      <c r="A546" s="12" t="n">
        <v>42182</v>
      </c>
      <c r="B546" s="13" t="n">
        <v>369245.75870665</v>
      </c>
      <c r="C546" s="13" t="n">
        <v>392017.973450987</v>
      </c>
      <c r="D546" s="14" t="n">
        <v>9770</v>
      </c>
      <c r="E546" s="15" t="n">
        <f aca="false">B546/D546</f>
        <v>37.7938340539048</v>
      </c>
      <c r="F546" s="15" t="n">
        <f aca="false">C546/D546</f>
        <v>40.1246646316261</v>
      </c>
      <c r="G546" s="13" t="n">
        <f aca="false">B546-C546</f>
        <v>-22772.214744337</v>
      </c>
      <c r="H546" s="16" t="n">
        <f aca="false">G546/B546</f>
        <v>-0.0616722445888094</v>
      </c>
      <c r="I546" s="15" t="n">
        <f aca="false">G546/D546</f>
        <v>-2.33083057772129</v>
      </c>
      <c r="J546" s="16" t="n">
        <f aca="false">I546/E546</f>
        <v>-0.0616722445888094</v>
      </c>
      <c r="K546" s="17" t="str">
        <f aca="false">TEXT(A546,"dddd")</f>
        <v>Saturday</v>
      </c>
      <c r="L546" s="17" t="str">
        <f aca="false">IF(AND(A546&gt;=DATE(2014,9,24),A546&lt;=DATE(2014,10,6)),"Promo 1",IF(AND(A546&gt;=DATE(2014,9,10),A546&lt;=DATE(2014,9,23)),"Baseline 1",IF(AND(A546&gt;=DATE(2015,9,23),A546&lt;=DATE(2015,10,6)),"Promo 2",IF(AND(A546&gt;=DATE(2015,9,9),A546&lt;=DATE(2015,9,22)),"Baseline 2",IF(AND(A546&gt;=DATE(2016,6,23),A546&lt;=DATE(2016,7,6)),"Promo 3",IF(AND(A546&gt;=DATE(2016,6,9),A546&lt;=DATE(2016,6,22)),"Baseline 3","Other"))))))</f>
        <v>Other</v>
      </c>
    </row>
    <row r="547" customFormat="false" ht="15" hidden="false" customHeight="true" outlineLevel="0" collapsed="false">
      <c r="A547" s="12" t="n">
        <v>42183</v>
      </c>
      <c r="B547" s="13" t="n">
        <v>185648.49109673</v>
      </c>
      <c r="C547" s="13" t="n">
        <v>197095.108742969</v>
      </c>
      <c r="D547" s="14" t="n">
        <v>4914</v>
      </c>
      <c r="E547" s="15" t="n">
        <f aca="false">B547/D547</f>
        <v>37.7795057176903</v>
      </c>
      <c r="F547" s="15" t="n">
        <f aca="false">C547/D547</f>
        <v>40.1088947380889</v>
      </c>
      <c r="G547" s="13" t="n">
        <f aca="false">B547-C547</f>
        <v>-11446.617646239</v>
      </c>
      <c r="H547" s="16" t="n">
        <f aca="false">G547/B547</f>
        <v>-0.0616574774113024</v>
      </c>
      <c r="I547" s="15" t="n">
        <f aca="false">G547/D547</f>
        <v>-2.32938902039866</v>
      </c>
      <c r="J547" s="16" t="n">
        <f aca="false">I547/E547</f>
        <v>-0.0616574774113024</v>
      </c>
      <c r="K547" s="17" t="str">
        <f aca="false">TEXT(A547,"dddd")</f>
        <v>Sunday</v>
      </c>
      <c r="L547" s="17" t="str">
        <f aca="false">IF(AND(A547&gt;=DATE(2014,9,24),A547&lt;=DATE(2014,10,6)),"Promo 1",IF(AND(A547&gt;=DATE(2014,9,10),A547&lt;=DATE(2014,9,23)),"Baseline 1",IF(AND(A547&gt;=DATE(2015,9,23),A547&lt;=DATE(2015,10,6)),"Promo 2",IF(AND(A547&gt;=DATE(2015,9,9),A547&lt;=DATE(2015,9,22)),"Baseline 2",IF(AND(A547&gt;=DATE(2016,6,23),A547&lt;=DATE(2016,7,6)),"Promo 3",IF(AND(A547&gt;=DATE(2016,6,9),A547&lt;=DATE(2016,6,22)),"Baseline 3","Other"))))))</f>
        <v>Other</v>
      </c>
    </row>
    <row r="548" customFormat="false" ht="15" hidden="false" customHeight="true" outlineLevel="0" collapsed="false">
      <c r="A548" s="12" t="n">
        <v>42184</v>
      </c>
      <c r="B548" s="13" t="n">
        <v>165557.761783853</v>
      </c>
      <c r="C548" s="13" t="n">
        <v>175871.110920523</v>
      </c>
      <c r="D548" s="14" t="n">
        <v>4385</v>
      </c>
      <c r="E548" s="15" t="n">
        <f aca="false">B548/D548</f>
        <v>37.7554758914146</v>
      </c>
      <c r="F548" s="15" t="n">
        <f aca="false">C548/D548</f>
        <v>40.107436926003</v>
      </c>
      <c r="G548" s="13" t="n">
        <f aca="false">B548-C548</f>
        <v>-10313.34913667</v>
      </c>
      <c r="H548" s="16" t="n">
        <f aca="false">G548/B548</f>
        <v>-0.0622945673192586</v>
      </c>
      <c r="I548" s="15" t="n">
        <f aca="false">G548/D548</f>
        <v>-2.35196103458837</v>
      </c>
      <c r="J548" s="16" t="n">
        <f aca="false">I548/E548</f>
        <v>-0.0622945673192586</v>
      </c>
      <c r="K548" s="17" t="str">
        <f aca="false">TEXT(A548,"dddd")</f>
        <v>Monday</v>
      </c>
      <c r="L548" s="17" t="str">
        <f aca="false">IF(AND(A548&gt;=DATE(2014,9,24),A548&lt;=DATE(2014,10,6)),"Promo 1",IF(AND(A548&gt;=DATE(2014,9,10),A548&lt;=DATE(2014,9,23)),"Baseline 1",IF(AND(A548&gt;=DATE(2015,9,23),A548&lt;=DATE(2015,10,6)),"Promo 2",IF(AND(A548&gt;=DATE(2015,9,9),A548&lt;=DATE(2015,9,22)),"Baseline 2",IF(AND(A548&gt;=DATE(2016,6,23),A548&lt;=DATE(2016,7,6)),"Promo 3",IF(AND(A548&gt;=DATE(2016,6,9),A548&lt;=DATE(2016,6,22)),"Baseline 3","Other"))))))</f>
        <v>Other</v>
      </c>
    </row>
    <row r="549" customFormat="false" ht="15" hidden="false" customHeight="true" outlineLevel="0" collapsed="false">
      <c r="A549" s="12" t="n">
        <v>42185</v>
      </c>
      <c r="B549" s="13" t="n">
        <v>212465.083204942</v>
      </c>
      <c r="C549" s="13" t="n">
        <v>225678.934525302</v>
      </c>
      <c r="D549" s="14" t="n">
        <v>5627</v>
      </c>
      <c r="E549" s="15" t="n">
        <f aca="false">B549/D549</f>
        <v>37.7581452292415</v>
      </c>
      <c r="F549" s="15" t="n">
        <f aca="false">C549/D549</f>
        <v>40.1064394038212</v>
      </c>
      <c r="G549" s="13" t="n">
        <f aca="false">B549-C549</f>
        <v>-13213.85132036</v>
      </c>
      <c r="H549" s="16" t="n">
        <f aca="false">G549/B549</f>
        <v>-0.0621930489520202</v>
      </c>
      <c r="I549" s="15" t="n">
        <f aca="false">G549/D549</f>
        <v>-2.34829417457971</v>
      </c>
      <c r="J549" s="16" t="n">
        <f aca="false">I549/E549</f>
        <v>-0.0621930489520202</v>
      </c>
      <c r="K549" s="17" t="str">
        <f aca="false">TEXT(A549,"dddd")</f>
        <v>Tuesday</v>
      </c>
      <c r="L549" s="17" t="str">
        <f aca="false">IF(AND(A549&gt;=DATE(2014,9,24),A549&lt;=DATE(2014,10,6)),"Promo 1",IF(AND(A549&gt;=DATE(2014,9,10),A549&lt;=DATE(2014,9,23)),"Baseline 1",IF(AND(A549&gt;=DATE(2015,9,23),A549&lt;=DATE(2015,10,6)),"Promo 2",IF(AND(A549&gt;=DATE(2015,9,9),A549&lt;=DATE(2015,9,22)),"Baseline 2",IF(AND(A549&gt;=DATE(2016,6,23),A549&lt;=DATE(2016,7,6)),"Promo 3",IF(AND(A549&gt;=DATE(2016,6,9),A549&lt;=DATE(2016,6,22)),"Baseline 3","Other"))))))</f>
        <v>Other</v>
      </c>
    </row>
    <row r="550" customFormat="false" ht="15" hidden="false" customHeight="true" outlineLevel="0" collapsed="false">
      <c r="A550" s="12" t="n">
        <v>42186</v>
      </c>
      <c r="B550" s="13" t="n">
        <v>305231.908086358</v>
      </c>
      <c r="C550" s="13" t="n">
        <v>324248.84149134</v>
      </c>
      <c r="D550" s="14" t="n">
        <v>8086</v>
      </c>
      <c r="E550" s="15" t="n">
        <f aca="false">B550/D550</f>
        <v>37.7481954101358</v>
      </c>
      <c r="F550" s="15" t="n">
        <f aca="false">C550/D550</f>
        <v>40.1000298653648</v>
      </c>
      <c r="G550" s="13" t="n">
        <f aca="false">B550-C550</f>
        <v>-19016.933404982</v>
      </c>
      <c r="H550" s="16" t="n">
        <f aca="false">G550/B550</f>
        <v>-0.0623032287948141</v>
      </c>
      <c r="I550" s="15" t="n">
        <f aca="false">G550/D550</f>
        <v>-2.35183445522904</v>
      </c>
      <c r="J550" s="16" t="n">
        <f aca="false">I550/E550</f>
        <v>-0.0623032287948141</v>
      </c>
      <c r="K550" s="17" t="str">
        <f aca="false">TEXT(A550,"dddd")</f>
        <v>Wednesday</v>
      </c>
      <c r="L550" s="17" t="str">
        <f aca="false">IF(AND(A550&gt;=DATE(2014,9,24),A550&lt;=DATE(2014,10,6)),"Promo 1",IF(AND(A550&gt;=DATE(2014,9,10),A550&lt;=DATE(2014,9,23)),"Baseline 1",IF(AND(A550&gt;=DATE(2015,9,23),A550&lt;=DATE(2015,10,6)),"Promo 2",IF(AND(A550&gt;=DATE(2015,9,9),A550&lt;=DATE(2015,9,22)),"Baseline 2",IF(AND(A550&gt;=DATE(2016,6,23),A550&lt;=DATE(2016,7,6)),"Promo 3",IF(AND(A550&gt;=DATE(2016,6,9),A550&lt;=DATE(2016,6,22)),"Baseline 3","Other"))))))</f>
        <v>Other</v>
      </c>
    </row>
    <row r="551" customFormat="false" ht="15" hidden="false" customHeight="true" outlineLevel="0" collapsed="false">
      <c r="A551" s="12" t="n">
        <v>42187</v>
      </c>
      <c r="B551" s="13" t="n">
        <v>250481.617657244</v>
      </c>
      <c r="C551" s="13" t="n">
        <v>266061.928358541</v>
      </c>
      <c r="D551" s="14" t="n">
        <v>6639</v>
      </c>
      <c r="E551" s="15" t="n">
        <f aca="false">B551/D551</f>
        <v>37.7288172401332</v>
      </c>
      <c r="F551" s="15" t="n">
        <f aca="false">C551/D551</f>
        <v>40.0756030062571</v>
      </c>
      <c r="G551" s="13" t="n">
        <f aca="false">B551-C551</f>
        <v>-15580.310701297</v>
      </c>
      <c r="H551" s="16" t="n">
        <f aca="false">G551/B551</f>
        <v>-0.0622014136087898</v>
      </c>
      <c r="I551" s="15" t="n">
        <f aca="false">G551/D551</f>
        <v>-2.34678576612396</v>
      </c>
      <c r="J551" s="16" t="n">
        <f aca="false">I551/E551</f>
        <v>-0.0622014136087898</v>
      </c>
      <c r="K551" s="17" t="str">
        <f aca="false">TEXT(A551,"dddd")</f>
        <v>Thursday</v>
      </c>
      <c r="L551" s="17" t="str">
        <f aca="false">IF(AND(A551&gt;=DATE(2014,9,24),A551&lt;=DATE(2014,10,6)),"Promo 1",IF(AND(A551&gt;=DATE(2014,9,10),A551&lt;=DATE(2014,9,23)),"Baseline 1",IF(AND(A551&gt;=DATE(2015,9,23),A551&lt;=DATE(2015,10,6)),"Promo 2",IF(AND(A551&gt;=DATE(2015,9,9),A551&lt;=DATE(2015,9,22)),"Baseline 2",IF(AND(A551&gt;=DATE(2016,6,23),A551&lt;=DATE(2016,7,6)),"Promo 3",IF(AND(A551&gt;=DATE(2016,6,9),A551&lt;=DATE(2016,6,22)),"Baseline 3","Other"))))))</f>
        <v>Other</v>
      </c>
    </row>
    <row r="552" customFormat="false" ht="15" hidden="false" customHeight="true" outlineLevel="0" collapsed="false">
      <c r="A552" s="12" t="n">
        <v>42188</v>
      </c>
      <c r="B552" s="13" t="n">
        <v>268410.480702009</v>
      </c>
      <c r="C552" s="13" t="n">
        <v>284592.994661232</v>
      </c>
      <c r="D552" s="14" t="n">
        <v>7104</v>
      </c>
      <c r="E552" s="15" t="n">
        <f aca="false">B552/D552</f>
        <v>37.7830068555756</v>
      </c>
      <c r="F552" s="15" t="n">
        <f aca="false">C552/D552</f>
        <v>40.0609508250608</v>
      </c>
      <c r="G552" s="13" t="n">
        <f aca="false">B552-C552</f>
        <v>-16182.513959223</v>
      </c>
      <c r="H552" s="16" t="n">
        <f aca="false">G552/B552</f>
        <v>-0.0602901716687767</v>
      </c>
      <c r="I552" s="15" t="n">
        <f aca="false">G552/D552</f>
        <v>-2.27794396948522</v>
      </c>
      <c r="J552" s="16" t="n">
        <f aca="false">I552/E552</f>
        <v>-0.0602901716687767</v>
      </c>
      <c r="K552" s="17" t="str">
        <f aca="false">TEXT(A552,"dddd")</f>
        <v>Friday</v>
      </c>
      <c r="L552" s="17" t="str">
        <f aca="false">IF(AND(A552&gt;=DATE(2014,9,24),A552&lt;=DATE(2014,10,6)),"Promo 1",IF(AND(A552&gt;=DATE(2014,9,10),A552&lt;=DATE(2014,9,23)),"Baseline 1",IF(AND(A552&gt;=DATE(2015,9,23),A552&lt;=DATE(2015,10,6)),"Promo 2",IF(AND(A552&gt;=DATE(2015,9,9),A552&lt;=DATE(2015,9,22)),"Baseline 2",IF(AND(A552&gt;=DATE(2016,6,23),A552&lt;=DATE(2016,7,6)),"Promo 3",IF(AND(A552&gt;=DATE(2016,6,9),A552&lt;=DATE(2016,6,22)),"Baseline 3","Other"))))))</f>
        <v>Other</v>
      </c>
    </row>
    <row r="553" customFormat="false" ht="15" hidden="false" customHeight="true" outlineLevel="0" collapsed="false">
      <c r="A553" s="12" t="n">
        <v>42189</v>
      </c>
      <c r="B553" s="13" t="n">
        <v>316365.498738392</v>
      </c>
      <c r="C553" s="13" t="n">
        <v>335025.076360126</v>
      </c>
      <c r="D553" s="14" t="n">
        <v>8364</v>
      </c>
      <c r="E553" s="15" t="n">
        <f aca="false">B553/D553</f>
        <v>37.8246650811086</v>
      </c>
      <c r="F553" s="15" t="n">
        <f aca="false">C553/D553</f>
        <v>40.0556045385134</v>
      </c>
      <c r="G553" s="13" t="n">
        <f aca="false">B553-C553</f>
        <v>-18659.577621734</v>
      </c>
      <c r="H553" s="16" t="n">
        <f aca="false">G553/B553</f>
        <v>-0.058981076306187</v>
      </c>
      <c r="I553" s="15" t="n">
        <f aca="false">G553/D553</f>
        <v>-2.23093945740483</v>
      </c>
      <c r="J553" s="16" t="n">
        <f aca="false">I553/E553</f>
        <v>-0.058981076306187</v>
      </c>
      <c r="K553" s="17" t="str">
        <f aca="false">TEXT(A553,"dddd")</f>
        <v>Saturday</v>
      </c>
      <c r="L553" s="17" t="str">
        <f aca="false">IF(AND(A553&gt;=DATE(2014,9,24),A553&lt;=DATE(2014,10,6)),"Promo 1",IF(AND(A553&gt;=DATE(2014,9,10),A553&lt;=DATE(2014,9,23)),"Baseline 1",IF(AND(A553&gt;=DATE(2015,9,23),A553&lt;=DATE(2015,10,6)),"Promo 2",IF(AND(A553&gt;=DATE(2015,9,9),A553&lt;=DATE(2015,9,22)),"Baseline 2",IF(AND(A553&gt;=DATE(2016,6,23),A553&lt;=DATE(2016,7,6)),"Promo 3",IF(AND(A553&gt;=DATE(2016,6,9),A553&lt;=DATE(2016,6,22)),"Baseline 3","Other"))))))</f>
        <v>Other</v>
      </c>
    </row>
    <row r="554" customFormat="false" ht="15" hidden="false" customHeight="true" outlineLevel="0" collapsed="false">
      <c r="A554" s="12" t="n">
        <v>42190</v>
      </c>
      <c r="B554" s="13" t="n">
        <v>156873.043658264</v>
      </c>
      <c r="C554" s="13" t="n">
        <v>165968.62450164</v>
      </c>
      <c r="D554" s="14" t="n">
        <v>4146</v>
      </c>
      <c r="E554" s="15" t="n">
        <f aca="false">B554/D554</f>
        <v>37.8372030048876</v>
      </c>
      <c r="F554" s="15" t="n">
        <f aca="false">C554/D554</f>
        <v>40.0310237582345</v>
      </c>
      <c r="G554" s="13" t="n">
        <f aca="false">B554-C554</f>
        <v>-9095.580843376</v>
      </c>
      <c r="H554" s="16" t="n">
        <f aca="false">G554/B554</f>
        <v>-0.0579805212627227</v>
      </c>
      <c r="I554" s="15" t="n">
        <f aca="false">G554/D554</f>
        <v>-2.19382075334684</v>
      </c>
      <c r="J554" s="16" t="n">
        <f aca="false">I554/E554</f>
        <v>-0.0579805212627227</v>
      </c>
      <c r="K554" s="17" t="str">
        <f aca="false">TEXT(A554,"dddd")</f>
        <v>Sunday</v>
      </c>
      <c r="L554" s="17" t="str">
        <f aca="false">IF(AND(A554&gt;=DATE(2014,9,24),A554&lt;=DATE(2014,10,6)),"Promo 1",IF(AND(A554&gt;=DATE(2014,9,10),A554&lt;=DATE(2014,9,23)),"Baseline 1",IF(AND(A554&gt;=DATE(2015,9,23),A554&lt;=DATE(2015,10,6)),"Promo 2",IF(AND(A554&gt;=DATE(2015,9,9),A554&lt;=DATE(2015,9,22)),"Baseline 2",IF(AND(A554&gt;=DATE(2016,6,23),A554&lt;=DATE(2016,7,6)),"Promo 3",IF(AND(A554&gt;=DATE(2016,6,9),A554&lt;=DATE(2016,6,22)),"Baseline 3","Other"))))))</f>
        <v>Other</v>
      </c>
    </row>
    <row r="555" customFormat="false" ht="15" hidden="false" customHeight="true" outlineLevel="0" collapsed="false">
      <c r="A555" s="12" t="n">
        <v>42191</v>
      </c>
      <c r="B555" s="13" t="n">
        <v>173987.751540802</v>
      </c>
      <c r="C555" s="13" t="n">
        <v>184188.978976355</v>
      </c>
      <c r="D555" s="14" t="n">
        <v>4601</v>
      </c>
      <c r="E555" s="15" t="n">
        <f aca="false">B555/D555</f>
        <v>37.8152035515762</v>
      </c>
      <c r="F555" s="15" t="n">
        <f aca="false">C555/D555</f>
        <v>40.0323796949261</v>
      </c>
      <c r="G555" s="13" t="n">
        <f aca="false">B555-C555</f>
        <v>-10201.227435553</v>
      </c>
      <c r="H555" s="16" t="n">
        <f aca="false">G555/B555</f>
        <v>-0.0586318711818095</v>
      </c>
      <c r="I555" s="15" t="n">
        <f aca="false">G555/D555</f>
        <v>-2.21717614334992</v>
      </c>
      <c r="J555" s="16" t="n">
        <f aca="false">I555/E555</f>
        <v>-0.0586318711818095</v>
      </c>
      <c r="K555" s="17" t="str">
        <f aca="false">TEXT(A555,"dddd")</f>
        <v>Monday</v>
      </c>
      <c r="L555" s="17" t="str">
        <f aca="false">IF(AND(A555&gt;=DATE(2014,9,24),A555&lt;=DATE(2014,10,6)),"Promo 1",IF(AND(A555&gt;=DATE(2014,9,10),A555&lt;=DATE(2014,9,23)),"Baseline 1",IF(AND(A555&gt;=DATE(2015,9,23),A555&lt;=DATE(2015,10,6)),"Promo 2",IF(AND(A555&gt;=DATE(2015,9,9),A555&lt;=DATE(2015,9,22)),"Baseline 2",IF(AND(A555&gt;=DATE(2016,6,23),A555&lt;=DATE(2016,7,6)),"Promo 3",IF(AND(A555&gt;=DATE(2016,6,9),A555&lt;=DATE(2016,6,22)),"Baseline 3","Other"))))))</f>
        <v>Other</v>
      </c>
    </row>
    <row r="556" customFormat="false" ht="15" hidden="false" customHeight="true" outlineLevel="0" collapsed="false">
      <c r="A556" s="12" t="n">
        <v>42192</v>
      </c>
      <c r="B556" s="13" t="n">
        <v>135753.766042096</v>
      </c>
      <c r="C556" s="13" t="n">
        <v>143799.598687529</v>
      </c>
      <c r="D556" s="14" t="n">
        <v>3593</v>
      </c>
      <c r="E556" s="15" t="n">
        <f aca="false">B556/D556</f>
        <v>37.7828461013348</v>
      </c>
      <c r="F556" s="15" t="n">
        <f aca="false">C556/D556</f>
        <v>40.0221538234147</v>
      </c>
      <c r="G556" s="13" t="n">
        <f aca="false">B556-C556</f>
        <v>-8045.83264543302</v>
      </c>
      <c r="H556" s="16" t="n">
        <f aca="false">G556/B556</f>
        <v>-0.0592678411804656</v>
      </c>
      <c r="I556" s="15" t="n">
        <f aca="false">G556/D556</f>
        <v>-2.23930772207988</v>
      </c>
      <c r="J556" s="16" t="n">
        <f aca="false">I556/E556</f>
        <v>-0.0592678411804656</v>
      </c>
      <c r="K556" s="17" t="str">
        <f aca="false">TEXT(A556,"dddd")</f>
        <v>Tuesday</v>
      </c>
      <c r="L556" s="17" t="str">
        <f aca="false">IF(AND(A556&gt;=DATE(2014,9,24),A556&lt;=DATE(2014,10,6)),"Promo 1",IF(AND(A556&gt;=DATE(2014,9,10),A556&lt;=DATE(2014,9,23)),"Baseline 1",IF(AND(A556&gt;=DATE(2015,9,23),A556&lt;=DATE(2015,10,6)),"Promo 2",IF(AND(A556&gt;=DATE(2015,9,9),A556&lt;=DATE(2015,9,22)),"Baseline 2",IF(AND(A556&gt;=DATE(2016,6,23),A556&lt;=DATE(2016,7,6)),"Promo 3",IF(AND(A556&gt;=DATE(2016,6,9),A556&lt;=DATE(2016,6,22)),"Baseline 3","Other"))))))</f>
        <v>Other</v>
      </c>
    </row>
    <row r="557" customFormat="false" ht="15" hidden="false" customHeight="true" outlineLevel="0" collapsed="false">
      <c r="A557" s="12" t="n">
        <v>42193</v>
      </c>
      <c r="B557" s="13" t="n">
        <v>84426.5094120295</v>
      </c>
      <c r="C557" s="13" t="n">
        <v>84588.9630354209</v>
      </c>
      <c r="D557" s="14" t="n">
        <v>2114</v>
      </c>
      <c r="E557" s="15" t="n">
        <f aca="false">B557/D557</f>
        <v>39.936854026504</v>
      </c>
      <c r="F557" s="15" t="n">
        <f aca="false">C557/D557</f>
        <v>40.0137005843997</v>
      </c>
      <c r="G557" s="13" t="n">
        <f aca="false">B557-C557</f>
        <v>-162.453623391397</v>
      </c>
      <c r="H557" s="16" t="n">
        <f aca="false">G557/B557</f>
        <v>-0.00192420158695143</v>
      </c>
      <c r="I557" s="15" t="n">
        <f aca="false">G557/D557</f>
        <v>-0.0768465578956466</v>
      </c>
      <c r="J557" s="16" t="n">
        <f aca="false">I557/E557</f>
        <v>-0.00192420158695143</v>
      </c>
      <c r="K557" s="17" t="str">
        <f aca="false">TEXT(A557,"dddd")</f>
        <v>Wednesday</v>
      </c>
      <c r="L557" s="17" t="str">
        <f aca="false">IF(AND(A557&gt;=DATE(2014,9,24),A557&lt;=DATE(2014,10,6)),"Promo 1",IF(AND(A557&gt;=DATE(2014,9,10),A557&lt;=DATE(2014,9,23)),"Baseline 1",IF(AND(A557&gt;=DATE(2015,9,23),A557&lt;=DATE(2015,10,6)),"Promo 2",IF(AND(A557&gt;=DATE(2015,9,9),A557&lt;=DATE(2015,9,22)),"Baseline 2",IF(AND(A557&gt;=DATE(2016,6,23),A557&lt;=DATE(2016,7,6)),"Promo 3",IF(AND(A557&gt;=DATE(2016,6,9),A557&lt;=DATE(2016,6,22)),"Baseline 3","Other"))))))</f>
        <v>Other</v>
      </c>
    </row>
    <row r="558" customFormat="false" ht="15" hidden="false" customHeight="true" outlineLevel="0" collapsed="false">
      <c r="A558" s="12" t="n">
        <v>42194</v>
      </c>
      <c r="B558" s="13" t="n">
        <v>70815.1902855303</v>
      </c>
      <c r="C558" s="13" t="n">
        <v>71913.0685806052</v>
      </c>
      <c r="D558" s="14" t="n">
        <v>1797</v>
      </c>
      <c r="E558" s="15" t="n">
        <f aca="false">B558/D558</f>
        <v>39.4074514666279</v>
      </c>
      <c r="F558" s="15" t="n">
        <f aca="false">C558/D558</f>
        <v>40.0184021038426</v>
      </c>
      <c r="G558" s="13" t="n">
        <f aca="false">B558-C558</f>
        <v>-1097.8782950749</v>
      </c>
      <c r="H558" s="16" t="n">
        <f aca="false">G558/B558</f>
        <v>-0.0155034292875328</v>
      </c>
      <c r="I558" s="15" t="n">
        <f aca="false">G558/D558</f>
        <v>-0.610950637214747</v>
      </c>
      <c r="J558" s="16" t="n">
        <f aca="false">I558/E558</f>
        <v>-0.0155034292875328</v>
      </c>
      <c r="K558" s="17" t="str">
        <f aca="false">TEXT(A558,"dddd")</f>
        <v>Thursday</v>
      </c>
      <c r="L558" s="17" t="str">
        <f aca="false">IF(AND(A558&gt;=DATE(2014,9,24),A558&lt;=DATE(2014,10,6)),"Promo 1",IF(AND(A558&gt;=DATE(2014,9,10),A558&lt;=DATE(2014,9,23)),"Baseline 1",IF(AND(A558&gt;=DATE(2015,9,23),A558&lt;=DATE(2015,10,6)),"Promo 2",IF(AND(A558&gt;=DATE(2015,9,9),A558&lt;=DATE(2015,9,22)),"Baseline 2",IF(AND(A558&gt;=DATE(2016,6,23),A558&lt;=DATE(2016,7,6)),"Promo 3",IF(AND(A558&gt;=DATE(2016,6,9),A558&lt;=DATE(2016,6,22)),"Baseline 3","Other"))))))</f>
        <v>Other</v>
      </c>
    </row>
    <row r="559" customFormat="false" ht="15" hidden="false" customHeight="true" outlineLevel="0" collapsed="false">
      <c r="A559" s="12" t="n">
        <v>42195</v>
      </c>
      <c r="B559" s="13" t="n">
        <v>125983.151753546</v>
      </c>
      <c r="C559" s="13" t="n">
        <v>127884.587244448</v>
      </c>
      <c r="D559" s="14" t="n">
        <v>3195</v>
      </c>
      <c r="E559" s="15" t="n">
        <f aca="false">B559/D559</f>
        <v>39.4313464017358</v>
      </c>
      <c r="F559" s="15" t="n">
        <f aca="false">C559/D559</f>
        <v>40.0264748808914</v>
      </c>
      <c r="G559" s="13" t="n">
        <f aca="false">B559-C559</f>
        <v>-1901.435490902</v>
      </c>
      <c r="H559" s="16" t="n">
        <f aca="false">G559/B559</f>
        <v>-0.015092776013587</v>
      </c>
      <c r="I559" s="15" t="n">
        <f aca="false">G559/D559</f>
        <v>-0.595128479155557</v>
      </c>
      <c r="J559" s="16" t="n">
        <f aca="false">I559/E559</f>
        <v>-0.015092776013587</v>
      </c>
      <c r="K559" s="17" t="str">
        <f aca="false">TEXT(A559,"dddd")</f>
        <v>Friday</v>
      </c>
      <c r="L559" s="17" t="str">
        <f aca="false">IF(AND(A559&gt;=DATE(2014,9,24),A559&lt;=DATE(2014,10,6)),"Promo 1",IF(AND(A559&gt;=DATE(2014,9,10),A559&lt;=DATE(2014,9,23)),"Baseline 1",IF(AND(A559&gt;=DATE(2015,9,23),A559&lt;=DATE(2015,10,6)),"Promo 2",IF(AND(A559&gt;=DATE(2015,9,9),A559&lt;=DATE(2015,9,22)),"Baseline 2",IF(AND(A559&gt;=DATE(2016,6,23),A559&lt;=DATE(2016,7,6)),"Promo 3",IF(AND(A559&gt;=DATE(2016,6,9),A559&lt;=DATE(2016,6,22)),"Baseline 3","Other"))))))</f>
        <v>Other</v>
      </c>
    </row>
    <row r="560" customFormat="false" ht="15" hidden="false" customHeight="true" outlineLevel="0" collapsed="false">
      <c r="A560" s="12" t="n">
        <v>42196</v>
      </c>
      <c r="B560" s="13" t="n">
        <v>142378.184041226</v>
      </c>
      <c r="C560" s="13" t="n">
        <v>143924.565119038</v>
      </c>
      <c r="D560" s="14" t="n">
        <v>3595</v>
      </c>
      <c r="E560" s="15" t="n">
        <f aca="false">B560/D560</f>
        <v>39.6045018195344</v>
      </c>
      <c r="F560" s="15" t="n">
        <f aca="false">C560/D560</f>
        <v>40.0346495463249</v>
      </c>
      <c r="G560" s="13" t="n">
        <f aca="false">B560-C560</f>
        <v>-1546.381077812</v>
      </c>
      <c r="H560" s="16" t="n">
        <f aca="false">G560/B560</f>
        <v>-0.0108610816202308</v>
      </c>
      <c r="I560" s="15" t="n">
        <f aca="false">G560/D560</f>
        <v>-0.430147726790541</v>
      </c>
      <c r="J560" s="16" t="n">
        <f aca="false">I560/E560</f>
        <v>-0.0108610816202308</v>
      </c>
      <c r="K560" s="17" t="str">
        <f aca="false">TEXT(A560,"dddd")</f>
        <v>Saturday</v>
      </c>
      <c r="L560" s="17" t="str">
        <f aca="false">IF(AND(A560&gt;=DATE(2014,9,24),A560&lt;=DATE(2014,10,6)),"Promo 1",IF(AND(A560&gt;=DATE(2014,9,10),A560&lt;=DATE(2014,9,23)),"Baseline 1",IF(AND(A560&gt;=DATE(2015,9,23),A560&lt;=DATE(2015,10,6)),"Promo 2",IF(AND(A560&gt;=DATE(2015,9,9),A560&lt;=DATE(2015,9,22)),"Baseline 2",IF(AND(A560&gt;=DATE(2016,6,23),A560&lt;=DATE(2016,7,6)),"Promo 3",IF(AND(A560&gt;=DATE(2016,6,9),A560&lt;=DATE(2016,6,22)),"Baseline 3","Other"))))))</f>
        <v>Other</v>
      </c>
    </row>
    <row r="561" customFormat="false" ht="15" hidden="false" customHeight="true" outlineLevel="0" collapsed="false">
      <c r="A561" s="12" t="n">
        <v>42197</v>
      </c>
      <c r="B561" s="13" t="n">
        <v>57427.6807070101</v>
      </c>
      <c r="C561" s="13" t="n">
        <v>58723.0405317517</v>
      </c>
      <c r="D561" s="14" t="n">
        <v>1467</v>
      </c>
      <c r="E561" s="15" t="n">
        <f aca="false">B561/D561</f>
        <v>39.1463399502455</v>
      </c>
      <c r="F561" s="15" t="n">
        <f aca="false">C561/D561</f>
        <v>40.029339149115</v>
      </c>
      <c r="G561" s="13" t="n">
        <f aca="false">B561-C561</f>
        <v>-1295.3598247416</v>
      </c>
      <c r="H561" s="16" t="n">
        <f aca="false">G561/B561</f>
        <v>-0.0225563666997173</v>
      </c>
      <c r="I561" s="15" t="n">
        <f aca="false">G561/D561</f>
        <v>-0.882999198869531</v>
      </c>
      <c r="J561" s="16" t="n">
        <f aca="false">I561/E561</f>
        <v>-0.0225563666997173</v>
      </c>
      <c r="K561" s="17" t="str">
        <f aca="false">TEXT(A561,"dddd")</f>
        <v>Sunday</v>
      </c>
      <c r="L561" s="17" t="str">
        <f aca="false">IF(AND(A561&gt;=DATE(2014,9,24),A561&lt;=DATE(2014,10,6)),"Promo 1",IF(AND(A561&gt;=DATE(2014,9,10),A561&lt;=DATE(2014,9,23)),"Baseline 1",IF(AND(A561&gt;=DATE(2015,9,23),A561&lt;=DATE(2015,10,6)),"Promo 2",IF(AND(A561&gt;=DATE(2015,9,9),A561&lt;=DATE(2015,9,22)),"Baseline 2",IF(AND(A561&gt;=DATE(2016,6,23),A561&lt;=DATE(2016,7,6)),"Promo 3",IF(AND(A561&gt;=DATE(2016,6,9),A561&lt;=DATE(2016,6,22)),"Baseline 3","Other"))))))</f>
        <v>Other</v>
      </c>
    </row>
    <row r="562" customFormat="false" ht="15" hidden="false" customHeight="true" outlineLevel="0" collapsed="false">
      <c r="A562" s="12" t="n">
        <v>42198</v>
      </c>
      <c r="B562" s="13" t="n">
        <v>63331.3310022304</v>
      </c>
      <c r="C562" s="13" t="n">
        <v>64690.0590699808</v>
      </c>
      <c r="D562" s="14" t="n">
        <v>1610</v>
      </c>
      <c r="E562" s="15" t="n">
        <f aca="false">B562/D562</f>
        <v>39.336230436168</v>
      </c>
      <c r="F562" s="15" t="n">
        <f aca="false">C562/D562</f>
        <v>40.1801609130316</v>
      </c>
      <c r="G562" s="13" t="n">
        <f aca="false">B562-C562</f>
        <v>-1358.7280677504</v>
      </c>
      <c r="H562" s="16" t="n">
        <f aca="false">G562/B562</f>
        <v>-0.0214542793629673</v>
      </c>
      <c r="I562" s="15" t="n">
        <f aca="false">G562/D562</f>
        <v>-0.843930476863604</v>
      </c>
      <c r="J562" s="16" t="n">
        <f aca="false">I562/E562</f>
        <v>-0.0214542793629673</v>
      </c>
      <c r="K562" s="17" t="str">
        <f aca="false">TEXT(A562,"dddd")</f>
        <v>Monday</v>
      </c>
      <c r="L562" s="17" t="str">
        <f aca="false">IF(AND(A562&gt;=DATE(2014,9,24),A562&lt;=DATE(2014,10,6)),"Promo 1",IF(AND(A562&gt;=DATE(2014,9,10),A562&lt;=DATE(2014,9,23)),"Baseline 1",IF(AND(A562&gt;=DATE(2015,9,23),A562&lt;=DATE(2015,10,6)),"Promo 2",IF(AND(A562&gt;=DATE(2015,9,9),A562&lt;=DATE(2015,9,22)),"Baseline 2",IF(AND(A562&gt;=DATE(2016,6,23),A562&lt;=DATE(2016,7,6)),"Promo 3",IF(AND(A562&gt;=DATE(2016,6,9),A562&lt;=DATE(2016,6,22)),"Baseline 3","Other"))))))</f>
        <v>Other</v>
      </c>
    </row>
    <row r="563" customFormat="false" ht="15" hidden="false" customHeight="true" outlineLevel="0" collapsed="false">
      <c r="A563" s="12" t="n">
        <v>42199</v>
      </c>
      <c r="B563" s="13" t="n">
        <v>51241.0285533004</v>
      </c>
      <c r="C563" s="13" t="n">
        <v>52509.9162199962</v>
      </c>
      <c r="D563" s="14" t="n">
        <v>1307</v>
      </c>
      <c r="E563" s="15" t="n">
        <f aca="false">B563/D563</f>
        <v>39.2050715786537</v>
      </c>
      <c r="F563" s="15" t="n">
        <f aca="false">C563/D563</f>
        <v>40.1759114154523</v>
      </c>
      <c r="G563" s="13" t="n">
        <f aca="false">B563-C563</f>
        <v>-1268.8876666958</v>
      </c>
      <c r="H563" s="16" t="n">
        <f aca="false">G563/B563</f>
        <v>-0.0247631185891579</v>
      </c>
      <c r="I563" s="15" t="n">
        <f aca="false">G563/D563</f>
        <v>-0.970839836798625</v>
      </c>
      <c r="J563" s="16" t="n">
        <f aca="false">I563/E563</f>
        <v>-0.0247631185891579</v>
      </c>
      <c r="K563" s="17" t="str">
        <f aca="false">TEXT(A563,"dddd")</f>
        <v>Tuesday</v>
      </c>
      <c r="L563" s="17" t="str">
        <f aca="false">IF(AND(A563&gt;=DATE(2014,9,24),A563&lt;=DATE(2014,10,6)),"Promo 1",IF(AND(A563&gt;=DATE(2014,9,10),A563&lt;=DATE(2014,9,23)),"Baseline 1",IF(AND(A563&gt;=DATE(2015,9,23),A563&lt;=DATE(2015,10,6)),"Promo 2",IF(AND(A563&gt;=DATE(2015,9,9),A563&lt;=DATE(2015,9,22)),"Baseline 2",IF(AND(A563&gt;=DATE(2016,6,23),A563&lt;=DATE(2016,7,6)),"Promo 3",IF(AND(A563&gt;=DATE(2016,6,9),A563&lt;=DATE(2016,6,22)),"Baseline 3","Other"))))))</f>
        <v>Other</v>
      </c>
    </row>
    <row r="564" customFormat="false" ht="15" hidden="false" customHeight="true" outlineLevel="0" collapsed="false">
      <c r="A564" s="12" t="n">
        <v>42200</v>
      </c>
      <c r="B564" s="13" t="n">
        <v>80326.4408092503</v>
      </c>
      <c r="C564" s="13" t="n">
        <v>81730.270702131</v>
      </c>
      <c r="D564" s="14" t="n">
        <v>2050</v>
      </c>
      <c r="E564" s="15" t="n">
        <f aca="false">B564/D564</f>
        <v>39.1836296630489</v>
      </c>
      <c r="F564" s="15" t="n">
        <f aca="false">C564/D564</f>
        <v>39.8684247327468</v>
      </c>
      <c r="G564" s="13" t="n">
        <f aca="false">B564-C564</f>
        <v>-1403.82989288071</v>
      </c>
      <c r="H564" s="16" t="n">
        <f aca="false">G564/B564</f>
        <v>-0.0174765603795935</v>
      </c>
      <c r="I564" s="15" t="n">
        <f aca="false">G564/D564</f>
        <v>-0.684795069697905</v>
      </c>
      <c r="J564" s="16" t="n">
        <f aca="false">I564/E564</f>
        <v>-0.0174765603795935</v>
      </c>
      <c r="K564" s="17" t="str">
        <f aca="false">TEXT(A564,"dddd")</f>
        <v>Wednesday</v>
      </c>
      <c r="L564" s="17" t="str">
        <f aca="false">IF(AND(A564&gt;=DATE(2014,9,24),A564&lt;=DATE(2014,10,6)),"Promo 1",IF(AND(A564&gt;=DATE(2014,9,10),A564&lt;=DATE(2014,9,23)),"Baseline 1",IF(AND(A564&gt;=DATE(2015,9,23),A564&lt;=DATE(2015,10,6)),"Promo 2",IF(AND(A564&gt;=DATE(2015,9,9),A564&lt;=DATE(2015,9,22)),"Baseline 2",IF(AND(A564&gt;=DATE(2016,6,23),A564&lt;=DATE(2016,7,6)),"Promo 3",IF(AND(A564&gt;=DATE(2016,6,9),A564&lt;=DATE(2016,6,22)),"Baseline 3","Other"))))))</f>
        <v>Other</v>
      </c>
    </row>
    <row r="565" customFormat="false" ht="15" hidden="false" customHeight="true" outlineLevel="0" collapsed="false">
      <c r="A565" s="12" t="n">
        <v>42201</v>
      </c>
      <c r="B565" s="13" t="n">
        <v>71912.5657280603</v>
      </c>
      <c r="C565" s="13" t="n">
        <v>73762.6291732688</v>
      </c>
      <c r="D565" s="14" t="n">
        <v>1849</v>
      </c>
      <c r="E565" s="15" t="n">
        <f aca="false">B565/D565</f>
        <v>38.8926802206924</v>
      </c>
      <c r="F565" s="15" t="n">
        <f aca="false">C565/D565</f>
        <v>39.8932553668301</v>
      </c>
      <c r="G565" s="13" t="n">
        <f aca="false">B565-C565</f>
        <v>-1850.06344520849</v>
      </c>
      <c r="H565" s="16" t="n">
        <f aca="false">G565/B565</f>
        <v>-0.0257265670676328</v>
      </c>
      <c r="I565" s="15" t="n">
        <f aca="false">G565/D565</f>
        <v>-1.00057514613764</v>
      </c>
      <c r="J565" s="16" t="n">
        <f aca="false">I565/E565</f>
        <v>-0.0257265670676328</v>
      </c>
      <c r="K565" s="17" t="str">
        <f aca="false">TEXT(A565,"dddd")</f>
        <v>Thursday</v>
      </c>
      <c r="L565" s="17" t="str">
        <f aca="false">IF(AND(A565&gt;=DATE(2014,9,24),A565&lt;=DATE(2014,10,6)),"Promo 1",IF(AND(A565&gt;=DATE(2014,9,10),A565&lt;=DATE(2014,9,23)),"Baseline 1",IF(AND(A565&gt;=DATE(2015,9,23),A565&lt;=DATE(2015,10,6)),"Promo 2",IF(AND(A565&gt;=DATE(2015,9,9),A565&lt;=DATE(2015,9,22)),"Baseline 2",IF(AND(A565&gt;=DATE(2016,6,23),A565&lt;=DATE(2016,7,6)),"Promo 3",IF(AND(A565&gt;=DATE(2016,6,9),A565&lt;=DATE(2016,6,22)),"Baseline 3","Other"))))))</f>
        <v>Other</v>
      </c>
    </row>
    <row r="566" customFormat="false" ht="15" hidden="false" customHeight="true" outlineLevel="0" collapsed="false">
      <c r="A566" s="12" t="n">
        <v>42202</v>
      </c>
      <c r="B566" s="13" t="n">
        <v>119204.309534746</v>
      </c>
      <c r="C566" s="13" t="n">
        <v>122669.699427925</v>
      </c>
      <c r="D566" s="14" t="n">
        <v>3070</v>
      </c>
      <c r="E566" s="15" t="n">
        <f aca="false">B566/D566</f>
        <v>38.8287653207642</v>
      </c>
      <c r="F566" s="15" t="n">
        <f aca="false">C566/D566</f>
        <v>39.9575568169137</v>
      </c>
      <c r="G566" s="13" t="n">
        <f aca="false">B566-C566</f>
        <v>-3465.389893179</v>
      </c>
      <c r="H566" s="16" t="n">
        <f aca="false">G566/B566</f>
        <v>-0.0290710118342567</v>
      </c>
      <c r="I566" s="15" t="n">
        <f aca="false">G566/D566</f>
        <v>-1.12879149614951</v>
      </c>
      <c r="J566" s="16" t="n">
        <f aca="false">I566/E566</f>
        <v>-0.0290710118342567</v>
      </c>
      <c r="K566" s="17" t="str">
        <f aca="false">TEXT(A566,"dddd")</f>
        <v>Friday</v>
      </c>
      <c r="L566" s="17" t="str">
        <f aca="false">IF(AND(A566&gt;=DATE(2014,9,24),A566&lt;=DATE(2014,10,6)),"Promo 1",IF(AND(A566&gt;=DATE(2014,9,10),A566&lt;=DATE(2014,9,23)),"Baseline 1",IF(AND(A566&gt;=DATE(2015,9,23),A566&lt;=DATE(2015,10,6)),"Promo 2",IF(AND(A566&gt;=DATE(2015,9,9),A566&lt;=DATE(2015,9,22)),"Baseline 2",IF(AND(A566&gt;=DATE(2016,6,23),A566&lt;=DATE(2016,7,6)),"Promo 3",IF(AND(A566&gt;=DATE(2016,6,9),A566&lt;=DATE(2016,6,22)),"Baseline 3","Other"))))))</f>
        <v>Other</v>
      </c>
    </row>
    <row r="567" customFormat="false" ht="15" hidden="false" customHeight="true" outlineLevel="0" collapsed="false">
      <c r="A567" s="12" t="n">
        <v>42203</v>
      </c>
      <c r="B567" s="13" t="n">
        <v>129441.278656736</v>
      </c>
      <c r="C567" s="13" t="n">
        <v>132493.431520894</v>
      </c>
      <c r="D567" s="14" t="n">
        <v>3322</v>
      </c>
      <c r="E567" s="15" t="n">
        <f aca="false">B567/D567</f>
        <v>38.9648641350801</v>
      </c>
      <c r="F567" s="15" t="n">
        <f aca="false">C567/D567</f>
        <v>39.8836338112264</v>
      </c>
      <c r="G567" s="13" t="n">
        <f aca="false">B567-C567</f>
        <v>-3052.15286415799</v>
      </c>
      <c r="H567" s="16" t="n">
        <f aca="false">G567/B567</f>
        <v>-0.0235794400042352</v>
      </c>
      <c r="I567" s="15" t="n">
        <f aca="false">G567/D567</f>
        <v>-0.918769676146296</v>
      </c>
      <c r="J567" s="16" t="n">
        <f aca="false">I567/E567</f>
        <v>-0.0235794400042352</v>
      </c>
      <c r="K567" s="17" t="str">
        <f aca="false">TEXT(A567,"dddd")</f>
        <v>Saturday</v>
      </c>
      <c r="L567" s="17" t="str">
        <f aca="false">IF(AND(A567&gt;=DATE(2014,9,24),A567&lt;=DATE(2014,10,6)),"Promo 1",IF(AND(A567&gt;=DATE(2014,9,10),A567&lt;=DATE(2014,9,23)),"Baseline 1",IF(AND(A567&gt;=DATE(2015,9,23),A567&lt;=DATE(2015,10,6)),"Promo 2",IF(AND(A567&gt;=DATE(2015,9,9),A567&lt;=DATE(2015,9,22)),"Baseline 2",IF(AND(A567&gt;=DATE(2016,6,23),A567&lt;=DATE(2016,7,6)),"Promo 3",IF(AND(A567&gt;=DATE(2016,6,9),A567&lt;=DATE(2016,6,22)),"Baseline 3","Other"))))))</f>
        <v>Other</v>
      </c>
    </row>
    <row r="568" customFormat="false" ht="15" hidden="false" customHeight="true" outlineLevel="0" collapsed="false">
      <c r="A568" s="12" t="n">
        <v>42204</v>
      </c>
      <c r="B568" s="13" t="n">
        <v>77645.7499351202</v>
      </c>
      <c r="C568" s="13" t="n">
        <v>79555.6347362423</v>
      </c>
      <c r="D568" s="14" t="n">
        <v>1982</v>
      </c>
      <c r="E568" s="15" t="n">
        <f aca="false">B568/D568</f>
        <v>39.1754540540465</v>
      </c>
      <c r="F568" s="15" t="n">
        <f aca="false">C568/D568</f>
        <v>40.1390689890224</v>
      </c>
      <c r="G568" s="13" t="n">
        <f aca="false">B568-C568</f>
        <v>-1909.8848011221</v>
      </c>
      <c r="H568" s="16" t="n">
        <f aca="false">G568/B568</f>
        <v>-0.024597415862658</v>
      </c>
      <c r="I568" s="15" t="n">
        <f aca="false">G568/D568</f>
        <v>-0.963614934975832</v>
      </c>
      <c r="J568" s="16" t="n">
        <f aca="false">I568/E568</f>
        <v>-0.024597415862658</v>
      </c>
      <c r="K568" s="17" t="str">
        <f aca="false">TEXT(A568,"dddd")</f>
        <v>Sunday</v>
      </c>
      <c r="L568" s="17" t="str">
        <f aca="false">IF(AND(A568&gt;=DATE(2014,9,24),A568&lt;=DATE(2014,10,6)),"Promo 1",IF(AND(A568&gt;=DATE(2014,9,10),A568&lt;=DATE(2014,9,23)),"Baseline 1",IF(AND(A568&gt;=DATE(2015,9,23),A568&lt;=DATE(2015,10,6)),"Promo 2",IF(AND(A568&gt;=DATE(2015,9,9),A568&lt;=DATE(2015,9,22)),"Baseline 2",IF(AND(A568&gt;=DATE(2016,6,23),A568&lt;=DATE(2016,7,6)),"Promo 3",IF(AND(A568&gt;=DATE(2016,6,9),A568&lt;=DATE(2016,6,22)),"Baseline 3","Other"))))))</f>
        <v>Other</v>
      </c>
    </row>
    <row r="569" customFormat="false" ht="15" hidden="false" customHeight="true" outlineLevel="0" collapsed="false">
      <c r="A569" s="12" t="n">
        <v>42205</v>
      </c>
      <c r="B569" s="13" t="n">
        <v>69926.65036245</v>
      </c>
      <c r="C569" s="13" t="n">
        <v>71362.5178381369</v>
      </c>
      <c r="D569" s="14" t="n">
        <v>1787</v>
      </c>
      <c r="E569" s="15" t="n">
        <f aca="false">B569/D569</f>
        <v>39.1307500629267</v>
      </c>
      <c r="F569" s="15" t="n">
        <f aca="false">C569/D569</f>
        <v>39.9342573240833</v>
      </c>
      <c r="G569" s="13" t="n">
        <f aca="false">B569-C569</f>
        <v>-1435.8674756869</v>
      </c>
      <c r="H569" s="16" t="n">
        <f aca="false">G569/B569</f>
        <v>-0.0205339090067147</v>
      </c>
      <c r="I569" s="15" t="n">
        <f aca="false">G569/D569</f>
        <v>-0.803507261156632</v>
      </c>
      <c r="J569" s="16" t="n">
        <f aca="false">I569/E569</f>
        <v>-0.0205339090067147</v>
      </c>
      <c r="K569" s="17" t="str">
        <f aca="false">TEXT(A569,"dddd")</f>
        <v>Monday</v>
      </c>
      <c r="L569" s="17" t="str">
        <f aca="false">IF(AND(A569&gt;=DATE(2014,9,24),A569&lt;=DATE(2014,10,6)),"Promo 1",IF(AND(A569&gt;=DATE(2014,9,10),A569&lt;=DATE(2014,9,23)),"Baseline 1",IF(AND(A569&gt;=DATE(2015,9,23),A569&lt;=DATE(2015,10,6)),"Promo 2",IF(AND(A569&gt;=DATE(2015,9,9),A569&lt;=DATE(2015,9,22)),"Baseline 2",IF(AND(A569&gt;=DATE(2016,6,23),A569&lt;=DATE(2016,7,6)),"Promo 3",IF(AND(A569&gt;=DATE(2016,6,9),A569&lt;=DATE(2016,6,22)),"Baseline 3","Other"))))))</f>
        <v>Other</v>
      </c>
    </row>
    <row r="570" customFormat="false" ht="15" hidden="false" customHeight="true" outlineLevel="0" collapsed="false">
      <c r="A570" s="12" t="n">
        <v>42206</v>
      </c>
      <c r="B570" s="13" t="n">
        <v>71973.0443003401</v>
      </c>
      <c r="C570" s="13" t="n">
        <v>73851.7883987347</v>
      </c>
      <c r="D570" s="14" t="n">
        <v>1846</v>
      </c>
      <c r="E570" s="15" t="n">
        <f aca="false">B570/D570</f>
        <v>38.9886480500217</v>
      </c>
      <c r="F570" s="15" t="n">
        <f aca="false">C570/D570</f>
        <v>40.0063859148075</v>
      </c>
      <c r="G570" s="13" t="n">
        <f aca="false">B570-C570</f>
        <v>-1878.7440983946</v>
      </c>
      <c r="H570" s="16" t="n">
        <f aca="false">G570/B570</f>
        <v>-0.026103440762554</v>
      </c>
      <c r="I570" s="15" t="n">
        <f aca="false">G570/D570</f>
        <v>-1.01773786478581</v>
      </c>
      <c r="J570" s="16" t="n">
        <f aca="false">I570/E570</f>
        <v>-0.026103440762554</v>
      </c>
      <c r="K570" s="17" t="str">
        <f aca="false">TEXT(A570,"dddd")</f>
        <v>Tuesday</v>
      </c>
      <c r="L570" s="17" t="str">
        <f aca="false">IF(AND(A570&gt;=DATE(2014,9,24),A570&lt;=DATE(2014,10,6)),"Promo 1",IF(AND(A570&gt;=DATE(2014,9,10),A570&lt;=DATE(2014,9,23)),"Baseline 1",IF(AND(A570&gt;=DATE(2015,9,23),A570&lt;=DATE(2015,10,6)),"Promo 2",IF(AND(A570&gt;=DATE(2015,9,9),A570&lt;=DATE(2015,9,22)),"Baseline 2",IF(AND(A570&gt;=DATE(2016,6,23),A570&lt;=DATE(2016,7,6)),"Promo 3",IF(AND(A570&gt;=DATE(2016,6,9),A570&lt;=DATE(2016,6,22)),"Baseline 3","Other"))))))</f>
        <v>Other</v>
      </c>
    </row>
    <row r="571" customFormat="false" ht="15" hidden="false" customHeight="true" outlineLevel="0" collapsed="false">
      <c r="A571" s="12" t="n">
        <v>42207</v>
      </c>
      <c r="B571" s="13" t="n">
        <v>44304.8983622103</v>
      </c>
      <c r="C571" s="13" t="n">
        <v>45468.8369760094</v>
      </c>
      <c r="D571" s="14" t="n">
        <v>1142</v>
      </c>
      <c r="E571" s="15" t="n">
        <f aca="false">B571/D571</f>
        <v>38.7958829791684</v>
      </c>
      <c r="F571" s="15" t="n">
        <f aca="false">C571/D571</f>
        <v>39.8150936742639</v>
      </c>
      <c r="G571" s="13" t="n">
        <f aca="false">B571-C571</f>
        <v>-1163.9386137991</v>
      </c>
      <c r="H571" s="16" t="n">
        <f aca="false">G571/B571</f>
        <v>-0.0262711044788646</v>
      </c>
      <c r="I571" s="15" t="n">
        <f aca="false">G571/D571</f>
        <v>-1.01921069509554</v>
      </c>
      <c r="J571" s="16" t="n">
        <f aca="false">I571/E571</f>
        <v>-0.0262711044788646</v>
      </c>
      <c r="K571" s="17" t="str">
        <f aca="false">TEXT(A571,"dddd")</f>
        <v>Wednesday</v>
      </c>
      <c r="L571" s="17" t="str">
        <f aca="false">IF(AND(A571&gt;=DATE(2014,9,24),A571&lt;=DATE(2014,10,6)),"Promo 1",IF(AND(A571&gt;=DATE(2014,9,10),A571&lt;=DATE(2014,9,23)),"Baseline 1",IF(AND(A571&gt;=DATE(2015,9,23),A571&lt;=DATE(2015,10,6)),"Promo 2",IF(AND(A571&gt;=DATE(2015,9,9),A571&lt;=DATE(2015,9,22)),"Baseline 2",IF(AND(A571&gt;=DATE(2016,6,23),A571&lt;=DATE(2016,7,6)),"Promo 3",IF(AND(A571&gt;=DATE(2016,6,9),A571&lt;=DATE(2016,6,22)),"Baseline 3","Other"))))))</f>
        <v>Other</v>
      </c>
    </row>
    <row r="572" customFormat="false" ht="15" hidden="false" customHeight="true" outlineLevel="0" collapsed="false">
      <c r="A572" s="12" t="n">
        <v>42208</v>
      </c>
      <c r="B572" s="13" t="n">
        <v>66799.7237304905</v>
      </c>
      <c r="C572" s="13" t="n">
        <v>69323.6478719116</v>
      </c>
      <c r="D572" s="14" t="n">
        <v>1734</v>
      </c>
      <c r="E572" s="15" t="n">
        <f aca="false">B572/D572</f>
        <v>38.5234854270418</v>
      </c>
      <c r="F572" s="15" t="n">
        <f aca="false">C572/D572</f>
        <v>39.9790356816099</v>
      </c>
      <c r="G572" s="13" t="n">
        <f aca="false">B572-C572</f>
        <v>-2523.9241414211</v>
      </c>
      <c r="H572" s="16" t="n">
        <f aca="false">G572/B572</f>
        <v>-0.037783451793964</v>
      </c>
      <c r="I572" s="15" t="n">
        <f aca="false">G572/D572</f>
        <v>-1.45555025456811</v>
      </c>
      <c r="J572" s="16" t="n">
        <f aca="false">I572/E572</f>
        <v>-0.037783451793964</v>
      </c>
      <c r="K572" s="17" t="str">
        <f aca="false">TEXT(A572,"dddd")</f>
        <v>Thursday</v>
      </c>
      <c r="L572" s="17" t="str">
        <f aca="false">IF(AND(A572&gt;=DATE(2014,9,24),A572&lt;=DATE(2014,10,6)),"Promo 1",IF(AND(A572&gt;=DATE(2014,9,10),A572&lt;=DATE(2014,9,23)),"Baseline 1",IF(AND(A572&gt;=DATE(2015,9,23),A572&lt;=DATE(2015,10,6)),"Promo 2",IF(AND(A572&gt;=DATE(2015,9,9),A572&lt;=DATE(2015,9,22)),"Baseline 2",IF(AND(A572&gt;=DATE(2016,6,23),A572&lt;=DATE(2016,7,6)),"Promo 3",IF(AND(A572&gt;=DATE(2016,6,9),A572&lt;=DATE(2016,6,22)),"Baseline 3","Other"))))))</f>
        <v>Other</v>
      </c>
    </row>
    <row r="573" customFormat="false" ht="15" hidden="false" customHeight="true" outlineLevel="0" collapsed="false">
      <c r="A573" s="12" t="n">
        <v>42209</v>
      </c>
      <c r="B573" s="13" t="n">
        <v>125689.592840906</v>
      </c>
      <c r="C573" s="13" t="n">
        <v>130428.226395117</v>
      </c>
      <c r="D573" s="14" t="n">
        <v>3259</v>
      </c>
      <c r="E573" s="15" t="n">
        <f aca="false">B573/D573</f>
        <v>38.5669201721099</v>
      </c>
      <c r="F573" s="15" t="n">
        <f aca="false">C573/D573</f>
        <v>40.0209347637671</v>
      </c>
      <c r="G573" s="13" t="n">
        <f aca="false">B573-C573</f>
        <v>-4738.633554211</v>
      </c>
      <c r="H573" s="16" t="n">
        <f aca="false">G573/B573</f>
        <v>-0.0377010812677945</v>
      </c>
      <c r="I573" s="15" t="n">
        <f aca="false">G573/D573</f>
        <v>-1.45401459165726</v>
      </c>
      <c r="J573" s="16" t="n">
        <f aca="false">I573/E573</f>
        <v>-0.0377010812677945</v>
      </c>
      <c r="K573" s="17" t="str">
        <f aca="false">TEXT(A573,"dddd")</f>
        <v>Friday</v>
      </c>
      <c r="L573" s="17" t="str">
        <f aca="false">IF(AND(A573&gt;=DATE(2014,9,24),A573&lt;=DATE(2014,10,6)),"Promo 1",IF(AND(A573&gt;=DATE(2014,9,10),A573&lt;=DATE(2014,9,23)),"Baseline 1",IF(AND(A573&gt;=DATE(2015,9,23),A573&lt;=DATE(2015,10,6)),"Promo 2",IF(AND(A573&gt;=DATE(2015,9,9),A573&lt;=DATE(2015,9,22)),"Baseline 2",IF(AND(A573&gt;=DATE(2016,6,23),A573&lt;=DATE(2016,7,6)),"Promo 3",IF(AND(A573&gt;=DATE(2016,6,9),A573&lt;=DATE(2016,6,22)),"Baseline 3","Other"))))))</f>
        <v>Other</v>
      </c>
    </row>
    <row r="574" customFormat="false" ht="15" hidden="false" customHeight="true" outlineLevel="0" collapsed="false">
      <c r="A574" s="12" t="n">
        <v>42210</v>
      </c>
      <c r="B574" s="13" t="n">
        <v>138624.945003635</v>
      </c>
      <c r="C574" s="13" t="n">
        <v>143537.395218836</v>
      </c>
      <c r="D574" s="14" t="n">
        <v>3572</v>
      </c>
      <c r="E574" s="15" t="n">
        <f aca="false">B574/D574</f>
        <v>38.8087751969863</v>
      </c>
      <c r="F574" s="15" t="n">
        <f aca="false">C574/D574</f>
        <v>40.1840412146797</v>
      </c>
      <c r="G574" s="13" t="n">
        <f aca="false">B574-C574</f>
        <v>-4912.45021520101</v>
      </c>
      <c r="H574" s="16" t="n">
        <f aca="false">G574/B574</f>
        <v>-0.0354369858546901</v>
      </c>
      <c r="I574" s="15" t="n">
        <f aca="false">G574/D574</f>
        <v>-1.37526601769345</v>
      </c>
      <c r="J574" s="16" t="n">
        <f aca="false">I574/E574</f>
        <v>-0.0354369858546901</v>
      </c>
      <c r="K574" s="17" t="str">
        <f aca="false">TEXT(A574,"dddd")</f>
        <v>Saturday</v>
      </c>
      <c r="L574" s="17" t="str">
        <f aca="false">IF(AND(A574&gt;=DATE(2014,9,24),A574&lt;=DATE(2014,10,6)),"Promo 1",IF(AND(A574&gt;=DATE(2014,9,10),A574&lt;=DATE(2014,9,23)),"Baseline 1",IF(AND(A574&gt;=DATE(2015,9,23),A574&lt;=DATE(2015,10,6)),"Promo 2",IF(AND(A574&gt;=DATE(2015,9,9),A574&lt;=DATE(2015,9,22)),"Baseline 2",IF(AND(A574&gt;=DATE(2016,6,23),A574&lt;=DATE(2016,7,6)),"Promo 3",IF(AND(A574&gt;=DATE(2016,6,9),A574&lt;=DATE(2016,6,22)),"Baseline 3","Other"))))))</f>
        <v>Other</v>
      </c>
    </row>
    <row r="575" customFormat="false" ht="15" hidden="false" customHeight="true" outlineLevel="0" collapsed="false">
      <c r="A575" s="12" t="n">
        <v>42211</v>
      </c>
      <c r="B575" s="13" t="n">
        <v>81715.0453317804</v>
      </c>
      <c r="C575" s="13" t="n">
        <v>85089.2234300569</v>
      </c>
      <c r="D575" s="14" t="n">
        <v>2109</v>
      </c>
      <c r="E575" s="15" t="n">
        <f aca="false">B575/D575</f>
        <v>38.7458726087152</v>
      </c>
      <c r="F575" s="15" t="n">
        <f aca="false">C575/D575</f>
        <v>40.345767392156</v>
      </c>
      <c r="G575" s="13" t="n">
        <f aca="false">B575-C575</f>
        <v>-3374.17809827649</v>
      </c>
      <c r="H575" s="16" t="n">
        <f aca="false">G575/B575</f>
        <v>-0.0412920054633344</v>
      </c>
      <c r="I575" s="15" t="n">
        <f aca="false">G575/D575</f>
        <v>-1.59989478344073</v>
      </c>
      <c r="J575" s="16" t="n">
        <f aca="false">I575/E575</f>
        <v>-0.0412920054633343</v>
      </c>
      <c r="K575" s="17" t="str">
        <f aca="false">TEXT(A575,"dddd")</f>
        <v>Sunday</v>
      </c>
      <c r="L575" s="17" t="str">
        <f aca="false">IF(AND(A575&gt;=DATE(2014,9,24),A575&lt;=DATE(2014,10,6)),"Promo 1",IF(AND(A575&gt;=DATE(2014,9,10),A575&lt;=DATE(2014,9,23)),"Baseline 1",IF(AND(A575&gt;=DATE(2015,9,23),A575&lt;=DATE(2015,10,6)),"Promo 2",IF(AND(A575&gt;=DATE(2015,9,9),A575&lt;=DATE(2015,9,22)),"Baseline 2",IF(AND(A575&gt;=DATE(2016,6,23),A575&lt;=DATE(2016,7,6)),"Promo 3",IF(AND(A575&gt;=DATE(2016,6,9),A575&lt;=DATE(2016,6,22)),"Baseline 3","Other"))))))</f>
        <v>Other</v>
      </c>
    </row>
    <row r="576" customFormat="false" ht="15" hidden="false" customHeight="true" outlineLevel="0" collapsed="false">
      <c r="A576" s="12" t="n">
        <v>42212</v>
      </c>
      <c r="B576" s="13" t="n">
        <v>86842.8613578801</v>
      </c>
      <c r="C576" s="13" t="n">
        <v>90242.7940971536</v>
      </c>
      <c r="D576" s="14" t="n">
        <v>2242</v>
      </c>
      <c r="E576" s="15" t="n">
        <f aca="false">B576/D576</f>
        <v>38.7345501150223</v>
      </c>
      <c r="F576" s="15" t="n">
        <f aca="false">C576/D576</f>
        <v>40.2510232369106</v>
      </c>
      <c r="G576" s="13" t="n">
        <f aca="false">B576-C576</f>
        <v>-3399.9327392735</v>
      </c>
      <c r="H576" s="16" t="n">
        <f aca="false">G576/B576</f>
        <v>-0.0391503997693299</v>
      </c>
      <c r="I576" s="15" t="n">
        <f aca="false">G576/D576</f>
        <v>-1.51647312188827</v>
      </c>
      <c r="J576" s="16" t="n">
        <f aca="false">I576/E576</f>
        <v>-0.0391503997693299</v>
      </c>
      <c r="K576" s="17" t="str">
        <f aca="false">TEXT(A576,"dddd")</f>
        <v>Monday</v>
      </c>
      <c r="L576" s="17" t="str">
        <f aca="false">IF(AND(A576&gt;=DATE(2014,9,24),A576&lt;=DATE(2014,10,6)),"Promo 1",IF(AND(A576&gt;=DATE(2014,9,10),A576&lt;=DATE(2014,9,23)),"Baseline 1",IF(AND(A576&gt;=DATE(2015,9,23),A576&lt;=DATE(2015,10,6)),"Promo 2",IF(AND(A576&gt;=DATE(2015,9,9),A576&lt;=DATE(2015,9,22)),"Baseline 2",IF(AND(A576&gt;=DATE(2016,6,23),A576&lt;=DATE(2016,7,6)),"Promo 3",IF(AND(A576&gt;=DATE(2016,6,9),A576&lt;=DATE(2016,6,22)),"Baseline 3","Other"))))))</f>
        <v>Other</v>
      </c>
    </row>
    <row r="577" customFormat="false" ht="15" hidden="false" customHeight="true" outlineLevel="0" collapsed="false">
      <c r="A577" s="12" t="n">
        <v>42213</v>
      </c>
      <c r="B577" s="13" t="n">
        <v>56976.7852839004</v>
      </c>
      <c r="C577" s="13" t="n">
        <v>59094.0768578214</v>
      </c>
      <c r="D577" s="14" t="n">
        <v>1474</v>
      </c>
      <c r="E577" s="15" t="n">
        <f aca="false">B577/D577</f>
        <v>38.6545354707601</v>
      </c>
      <c r="F577" s="15" t="n">
        <f aca="false">C577/D577</f>
        <v>40.0909612332574</v>
      </c>
      <c r="G577" s="13" t="n">
        <f aca="false">B577-C577</f>
        <v>-2117.291573921</v>
      </c>
      <c r="H577" s="16" t="n">
        <f aca="false">G577/B577</f>
        <v>-0.0371606008196337</v>
      </c>
      <c r="I577" s="15" t="n">
        <f aca="false">G577/D577</f>
        <v>-1.43642576249729</v>
      </c>
      <c r="J577" s="16" t="n">
        <f aca="false">I577/E577</f>
        <v>-0.0371606008196337</v>
      </c>
      <c r="K577" s="17" t="str">
        <f aca="false">TEXT(A577,"dddd")</f>
        <v>Tuesday</v>
      </c>
      <c r="L577" s="17" t="str">
        <f aca="false">IF(AND(A577&gt;=DATE(2014,9,24),A577&lt;=DATE(2014,10,6)),"Promo 1",IF(AND(A577&gt;=DATE(2014,9,10),A577&lt;=DATE(2014,9,23)),"Baseline 1",IF(AND(A577&gt;=DATE(2015,9,23),A577&lt;=DATE(2015,10,6)),"Promo 2",IF(AND(A577&gt;=DATE(2015,9,9),A577&lt;=DATE(2015,9,22)),"Baseline 2",IF(AND(A577&gt;=DATE(2016,6,23),A577&lt;=DATE(2016,7,6)),"Promo 3",IF(AND(A577&gt;=DATE(2016,6,9),A577&lt;=DATE(2016,6,22)),"Baseline 3","Other"))))))</f>
        <v>Other</v>
      </c>
    </row>
    <row r="578" customFormat="false" ht="15" hidden="false" customHeight="true" outlineLevel="0" collapsed="false">
      <c r="A578" s="12" t="n">
        <v>42214</v>
      </c>
      <c r="B578" s="13" t="n">
        <v>53433.6680275304</v>
      </c>
      <c r="C578" s="13" t="n">
        <v>55516.5255620796</v>
      </c>
      <c r="D578" s="14" t="n">
        <v>1381</v>
      </c>
      <c r="E578" s="15" t="n">
        <f aca="false">B578/D578</f>
        <v>38.6920116057425</v>
      </c>
      <c r="F578" s="15" t="n">
        <f aca="false">C578/D578</f>
        <v>40.2002357437217</v>
      </c>
      <c r="G578" s="13" t="n">
        <f aca="false">B578-C578</f>
        <v>-2082.8575345492</v>
      </c>
      <c r="H578" s="16" t="n">
        <f aca="false">G578/B578</f>
        <v>-0.0389802461900249</v>
      </c>
      <c r="I578" s="15" t="n">
        <f aca="false">G578/D578</f>
        <v>-1.50822413797914</v>
      </c>
      <c r="J578" s="16" t="n">
        <f aca="false">I578/E578</f>
        <v>-0.0389802461900249</v>
      </c>
      <c r="K578" s="17" t="str">
        <f aca="false">TEXT(A578,"dddd")</f>
        <v>Wednesday</v>
      </c>
      <c r="L578" s="17" t="str">
        <f aca="false">IF(AND(A578&gt;=DATE(2014,9,24),A578&lt;=DATE(2014,10,6)),"Promo 1",IF(AND(A578&gt;=DATE(2014,9,10),A578&lt;=DATE(2014,9,23)),"Baseline 1",IF(AND(A578&gt;=DATE(2015,9,23),A578&lt;=DATE(2015,10,6)),"Promo 2",IF(AND(A578&gt;=DATE(2015,9,9),A578&lt;=DATE(2015,9,22)),"Baseline 2",IF(AND(A578&gt;=DATE(2016,6,23),A578&lt;=DATE(2016,7,6)),"Promo 3",IF(AND(A578&gt;=DATE(2016,6,9),A578&lt;=DATE(2016,6,22)),"Baseline 3","Other"))))))</f>
        <v>Other</v>
      </c>
    </row>
    <row r="579" customFormat="false" ht="15" hidden="false" customHeight="true" outlineLevel="0" collapsed="false">
      <c r="A579" s="12" t="n">
        <v>42215</v>
      </c>
      <c r="B579" s="13" t="n">
        <v>55134.0818183804</v>
      </c>
      <c r="C579" s="13" t="n">
        <v>57064.7506960124</v>
      </c>
      <c r="D579" s="14" t="n">
        <v>1423</v>
      </c>
      <c r="E579" s="15" t="n">
        <f aca="false">B579/D579</f>
        <v>38.744962627112</v>
      </c>
      <c r="F579" s="15" t="n">
        <f aca="false">C579/D579</f>
        <v>40.1017222038035</v>
      </c>
      <c r="G579" s="13" t="n">
        <f aca="false">B579-C579</f>
        <v>-1930.668877632</v>
      </c>
      <c r="H579" s="16" t="n">
        <f aca="false">G579/B579</f>
        <v>-0.0350177025526951</v>
      </c>
      <c r="I579" s="15" t="n">
        <f aca="false">G579/D579</f>
        <v>-1.3567595766915</v>
      </c>
      <c r="J579" s="16" t="n">
        <f aca="false">I579/E579</f>
        <v>-0.0350177025526951</v>
      </c>
      <c r="K579" s="17" t="str">
        <f aca="false">TEXT(A579,"dddd")</f>
        <v>Thursday</v>
      </c>
      <c r="L579" s="17" t="str">
        <f aca="false">IF(AND(A579&gt;=DATE(2014,9,24),A579&lt;=DATE(2014,10,6)),"Promo 1",IF(AND(A579&gt;=DATE(2014,9,10),A579&lt;=DATE(2014,9,23)),"Baseline 1",IF(AND(A579&gt;=DATE(2015,9,23),A579&lt;=DATE(2015,10,6)),"Promo 2",IF(AND(A579&gt;=DATE(2015,9,9),A579&lt;=DATE(2015,9,22)),"Baseline 2",IF(AND(A579&gt;=DATE(2016,6,23),A579&lt;=DATE(2016,7,6)),"Promo 3",IF(AND(A579&gt;=DATE(2016,6,9),A579&lt;=DATE(2016,6,22)),"Baseline 3","Other"))))))</f>
        <v>Other</v>
      </c>
    </row>
    <row r="580" customFormat="false" ht="15" hidden="false" customHeight="true" outlineLevel="0" collapsed="false">
      <c r="A580" s="12" t="n">
        <v>42216</v>
      </c>
      <c r="B580" s="13" t="n">
        <v>145033.610792665</v>
      </c>
      <c r="C580" s="13" t="n">
        <v>149876.87328204</v>
      </c>
      <c r="D580" s="14" t="n">
        <v>3740</v>
      </c>
      <c r="E580" s="15" t="n">
        <f aca="false">B580/D580</f>
        <v>38.7790403188944</v>
      </c>
      <c r="F580" s="15" t="n">
        <f aca="false">C580/D580</f>
        <v>40.0740302893155</v>
      </c>
      <c r="G580" s="13" t="n">
        <f aca="false">B580-C580</f>
        <v>-4843.26248937502</v>
      </c>
      <c r="H580" s="16" t="n">
        <f aca="false">G580/B580</f>
        <v>-0.0333940695739747</v>
      </c>
      <c r="I580" s="15" t="n">
        <f aca="false">G580/D580</f>
        <v>-1.29498997042113</v>
      </c>
      <c r="J580" s="16" t="n">
        <f aca="false">I580/E580</f>
        <v>-0.0333940695739747</v>
      </c>
      <c r="K580" s="17" t="str">
        <f aca="false">TEXT(A580,"dddd")</f>
        <v>Friday</v>
      </c>
      <c r="L580" s="17" t="str">
        <f aca="false">IF(AND(A580&gt;=DATE(2014,9,24),A580&lt;=DATE(2014,10,6)),"Promo 1",IF(AND(A580&gt;=DATE(2014,9,10),A580&lt;=DATE(2014,9,23)),"Baseline 1",IF(AND(A580&gt;=DATE(2015,9,23),A580&lt;=DATE(2015,10,6)),"Promo 2",IF(AND(A580&gt;=DATE(2015,9,9),A580&lt;=DATE(2015,9,22)),"Baseline 2",IF(AND(A580&gt;=DATE(2016,6,23),A580&lt;=DATE(2016,7,6)),"Promo 3",IF(AND(A580&gt;=DATE(2016,6,9),A580&lt;=DATE(2016,6,22)),"Baseline 3","Other"))))))</f>
        <v>Other</v>
      </c>
    </row>
    <row r="581" customFormat="false" ht="15" hidden="false" customHeight="true" outlineLevel="0" collapsed="false">
      <c r="A581" s="12" t="n">
        <v>42217</v>
      </c>
      <c r="B581" s="13" t="n">
        <v>173306.906489943</v>
      </c>
      <c r="C581" s="13" t="n">
        <v>178699.9758751</v>
      </c>
      <c r="D581" s="14" t="n">
        <v>4453</v>
      </c>
      <c r="E581" s="15" t="n">
        <f aca="false">B581/D581</f>
        <v>38.919134626082</v>
      </c>
      <c r="F581" s="15" t="n">
        <f aca="false">C581/D581</f>
        <v>40.1302438524815</v>
      </c>
      <c r="G581" s="13" t="n">
        <f aca="false">B581-C581</f>
        <v>-5393.069385157</v>
      </c>
      <c r="H581" s="16" t="n">
        <f aca="false">G581/B581</f>
        <v>-0.0311186062597566</v>
      </c>
      <c r="I581" s="15" t="n">
        <f aca="false">G581/D581</f>
        <v>-1.21110922639951</v>
      </c>
      <c r="J581" s="16" t="n">
        <f aca="false">I581/E581</f>
        <v>-0.0311186062597566</v>
      </c>
      <c r="K581" s="17" t="str">
        <f aca="false">TEXT(A581,"dddd")</f>
        <v>Saturday</v>
      </c>
      <c r="L581" s="17" t="str">
        <f aca="false">IF(AND(A581&gt;=DATE(2014,9,24),A581&lt;=DATE(2014,10,6)),"Promo 1",IF(AND(A581&gt;=DATE(2014,9,10),A581&lt;=DATE(2014,9,23)),"Baseline 1",IF(AND(A581&gt;=DATE(2015,9,23),A581&lt;=DATE(2015,10,6)),"Promo 2",IF(AND(A581&gt;=DATE(2015,9,9),A581&lt;=DATE(2015,9,22)),"Baseline 2",IF(AND(A581&gt;=DATE(2016,6,23),A581&lt;=DATE(2016,7,6)),"Promo 3",IF(AND(A581&gt;=DATE(2016,6,9),A581&lt;=DATE(2016,6,22)),"Baseline 3","Other"))))))</f>
        <v>Other</v>
      </c>
    </row>
    <row r="582" customFormat="false" ht="15" hidden="false" customHeight="true" outlineLevel="0" collapsed="false">
      <c r="A582" s="12" t="n">
        <v>42218</v>
      </c>
      <c r="B582" s="13" t="n">
        <v>88154.33871239</v>
      </c>
      <c r="C582" s="13" t="n">
        <v>90828.6616998234</v>
      </c>
      <c r="D582" s="14" t="n">
        <v>2258</v>
      </c>
      <c r="E582" s="15" t="n">
        <f aca="false">B582/D582</f>
        <v>39.0408940267449</v>
      </c>
      <c r="F582" s="15" t="n">
        <f aca="false">C582/D582</f>
        <v>40.2252709033762</v>
      </c>
      <c r="G582" s="13" t="n">
        <f aca="false">B582-C582</f>
        <v>-2674.32298743339</v>
      </c>
      <c r="H582" s="16" t="n">
        <f aca="false">G582/B582</f>
        <v>-0.0303368277329896</v>
      </c>
      <c r="I582" s="15" t="n">
        <f aca="false">G582/D582</f>
        <v>-1.18437687663126</v>
      </c>
      <c r="J582" s="16" t="n">
        <f aca="false">I582/E582</f>
        <v>-0.0303368277329896</v>
      </c>
      <c r="K582" s="17" t="str">
        <f aca="false">TEXT(A582,"dddd")</f>
        <v>Sunday</v>
      </c>
      <c r="L582" s="17" t="str">
        <f aca="false">IF(AND(A582&gt;=DATE(2014,9,24),A582&lt;=DATE(2014,10,6)),"Promo 1",IF(AND(A582&gt;=DATE(2014,9,10),A582&lt;=DATE(2014,9,23)),"Baseline 1",IF(AND(A582&gt;=DATE(2015,9,23),A582&lt;=DATE(2015,10,6)),"Promo 2",IF(AND(A582&gt;=DATE(2015,9,9),A582&lt;=DATE(2015,9,22)),"Baseline 2",IF(AND(A582&gt;=DATE(2016,6,23),A582&lt;=DATE(2016,7,6)),"Promo 3",IF(AND(A582&gt;=DATE(2016,6,9),A582&lt;=DATE(2016,6,22)),"Baseline 3","Other"))))))</f>
        <v>Other</v>
      </c>
    </row>
    <row r="583" customFormat="false" ht="15" hidden="false" customHeight="true" outlineLevel="0" collapsed="false">
      <c r="A583" s="12" t="n">
        <v>42219</v>
      </c>
      <c r="B583" s="13" t="n">
        <v>81142.0278477904</v>
      </c>
      <c r="C583" s="13" t="n">
        <v>83114.5768093384</v>
      </c>
      <c r="D583" s="14" t="n">
        <v>2074</v>
      </c>
      <c r="E583" s="15" t="n">
        <f aca="false">B583/D583</f>
        <v>39.1234464068421</v>
      </c>
      <c r="F583" s="15" t="n">
        <f aca="false">C583/D583</f>
        <v>40.0745307663155</v>
      </c>
      <c r="G583" s="13" t="n">
        <f aca="false">B583-C583</f>
        <v>-1972.54896154799</v>
      </c>
      <c r="H583" s="16" t="n">
        <f aca="false">G583/B583</f>
        <v>-0.0243098307235823</v>
      </c>
      <c r="I583" s="15" t="n">
        <f aca="false">G583/D583</f>
        <v>-0.951084359473476</v>
      </c>
      <c r="J583" s="16" t="n">
        <f aca="false">I583/E583</f>
        <v>-0.0243098307235823</v>
      </c>
      <c r="K583" s="17" t="str">
        <f aca="false">TEXT(A583,"dddd")</f>
        <v>Monday</v>
      </c>
      <c r="L583" s="17" t="str">
        <f aca="false">IF(AND(A583&gt;=DATE(2014,9,24),A583&lt;=DATE(2014,10,6)),"Promo 1",IF(AND(A583&gt;=DATE(2014,9,10),A583&lt;=DATE(2014,9,23)),"Baseline 1",IF(AND(A583&gt;=DATE(2015,9,23),A583&lt;=DATE(2015,10,6)),"Promo 2",IF(AND(A583&gt;=DATE(2015,9,9),A583&lt;=DATE(2015,9,22)),"Baseline 2",IF(AND(A583&gt;=DATE(2016,6,23),A583&lt;=DATE(2016,7,6)),"Promo 3",IF(AND(A583&gt;=DATE(2016,6,9),A583&lt;=DATE(2016,6,22)),"Baseline 3","Other"))))))</f>
        <v>Other</v>
      </c>
    </row>
    <row r="584" customFormat="false" ht="15" hidden="false" customHeight="true" outlineLevel="0" collapsed="false">
      <c r="A584" s="12" t="n">
        <v>42220</v>
      </c>
      <c r="B584" s="13" t="n">
        <v>77672.8827777405</v>
      </c>
      <c r="C584" s="13" t="n">
        <v>80417.7464421733</v>
      </c>
      <c r="D584" s="14" t="n">
        <v>2007</v>
      </c>
      <c r="E584" s="15" t="n">
        <f aca="false">B584/D584</f>
        <v>38.7009879311114</v>
      </c>
      <c r="F584" s="15" t="n">
        <f aca="false">C584/D584</f>
        <v>40.0686330055672</v>
      </c>
      <c r="G584" s="13" t="n">
        <f aca="false">B584-C584</f>
        <v>-2744.86366443281</v>
      </c>
      <c r="H584" s="16" t="n">
        <f aca="false">G584/B584</f>
        <v>-0.0353387638809182</v>
      </c>
      <c r="I584" s="15" t="n">
        <f aca="false">G584/D584</f>
        <v>-1.36764507445581</v>
      </c>
      <c r="J584" s="16" t="n">
        <f aca="false">I584/E584</f>
        <v>-0.0353387638809182</v>
      </c>
      <c r="K584" s="17" t="str">
        <f aca="false">TEXT(A584,"dddd")</f>
        <v>Tuesday</v>
      </c>
      <c r="L584" s="17" t="str">
        <f aca="false">IF(AND(A584&gt;=DATE(2014,9,24),A584&lt;=DATE(2014,10,6)),"Promo 1",IF(AND(A584&gt;=DATE(2014,9,10),A584&lt;=DATE(2014,9,23)),"Baseline 1",IF(AND(A584&gt;=DATE(2015,9,23),A584&lt;=DATE(2015,10,6)),"Promo 2",IF(AND(A584&gt;=DATE(2015,9,9),A584&lt;=DATE(2015,9,22)),"Baseline 2",IF(AND(A584&gt;=DATE(2016,6,23),A584&lt;=DATE(2016,7,6)),"Promo 3",IF(AND(A584&gt;=DATE(2016,6,9),A584&lt;=DATE(2016,6,22)),"Baseline 3","Other"))))))</f>
        <v>Other</v>
      </c>
    </row>
    <row r="585" customFormat="false" ht="15" hidden="false" customHeight="true" outlineLevel="0" collapsed="false">
      <c r="A585" s="12" t="n">
        <v>42221</v>
      </c>
      <c r="B585" s="13" t="n">
        <v>75483.4225543005</v>
      </c>
      <c r="C585" s="13" t="n">
        <v>78024.2846750306</v>
      </c>
      <c r="D585" s="14" t="n">
        <v>1948</v>
      </c>
      <c r="E585" s="15" t="n">
        <f aca="false">B585/D585</f>
        <v>38.7491902229469</v>
      </c>
      <c r="F585" s="15" t="n">
        <f aca="false">C585/D585</f>
        <v>40.0535342274284</v>
      </c>
      <c r="G585" s="13" t="n">
        <f aca="false">B585-C585</f>
        <v>-2540.8621207301</v>
      </c>
      <c r="H585" s="16" t="n">
        <f aca="false">G585/B585</f>
        <v>-0.033661193872102</v>
      </c>
      <c r="I585" s="15" t="n">
        <f aca="false">G585/D585</f>
        <v>-1.30434400448157</v>
      </c>
      <c r="J585" s="16" t="n">
        <f aca="false">I585/E585</f>
        <v>-0.033661193872102</v>
      </c>
      <c r="K585" s="17" t="str">
        <f aca="false">TEXT(A585,"dddd")</f>
        <v>Wednesday</v>
      </c>
      <c r="L585" s="17" t="str">
        <f aca="false">IF(AND(A585&gt;=DATE(2014,9,24),A585&lt;=DATE(2014,10,6)),"Promo 1",IF(AND(A585&gt;=DATE(2014,9,10),A585&lt;=DATE(2014,9,23)),"Baseline 1",IF(AND(A585&gt;=DATE(2015,9,23),A585&lt;=DATE(2015,10,6)),"Promo 2",IF(AND(A585&gt;=DATE(2015,9,9),A585&lt;=DATE(2015,9,22)),"Baseline 2",IF(AND(A585&gt;=DATE(2016,6,23),A585&lt;=DATE(2016,7,6)),"Promo 3",IF(AND(A585&gt;=DATE(2016,6,9),A585&lt;=DATE(2016,6,22)),"Baseline 3","Other"))))))</f>
        <v>Other</v>
      </c>
    </row>
    <row r="586" customFormat="false" ht="15" hidden="false" customHeight="true" outlineLevel="0" collapsed="false">
      <c r="A586" s="12" t="n">
        <v>42222</v>
      </c>
      <c r="B586" s="13" t="n">
        <v>74354.5701020405</v>
      </c>
      <c r="C586" s="13" t="n">
        <v>76978.3052384074</v>
      </c>
      <c r="D586" s="14" t="n">
        <v>1922</v>
      </c>
      <c r="E586" s="15" t="n">
        <f aca="false">B586/D586</f>
        <v>38.6860406358171</v>
      </c>
      <c r="F586" s="15" t="n">
        <f aca="false">C586/D586</f>
        <v>40.0511473664971</v>
      </c>
      <c r="G586" s="13" t="n">
        <f aca="false">B586-C586</f>
        <v>-2623.7351363669</v>
      </c>
      <c r="H586" s="16" t="n">
        <f aca="false">G586/B586</f>
        <v>-0.0352868039283425</v>
      </c>
      <c r="I586" s="15" t="n">
        <f aca="false">G586/D586</f>
        <v>-1.36510673067997</v>
      </c>
      <c r="J586" s="16" t="n">
        <f aca="false">I586/E586</f>
        <v>-0.0352868039283425</v>
      </c>
      <c r="K586" s="17" t="str">
        <f aca="false">TEXT(A586,"dddd")</f>
        <v>Thursday</v>
      </c>
      <c r="L586" s="17" t="str">
        <f aca="false">IF(AND(A586&gt;=DATE(2014,9,24),A586&lt;=DATE(2014,10,6)),"Promo 1",IF(AND(A586&gt;=DATE(2014,9,10),A586&lt;=DATE(2014,9,23)),"Baseline 1",IF(AND(A586&gt;=DATE(2015,9,23),A586&lt;=DATE(2015,10,6)),"Promo 2",IF(AND(A586&gt;=DATE(2015,9,9),A586&lt;=DATE(2015,9,22)),"Baseline 2",IF(AND(A586&gt;=DATE(2016,6,23),A586&lt;=DATE(2016,7,6)),"Promo 3",IF(AND(A586&gt;=DATE(2016,6,9),A586&lt;=DATE(2016,6,22)),"Baseline 3","Other"))))))</f>
        <v>Other</v>
      </c>
    </row>
    <row r="587" customFormat="false" ht="15" hidden="false" customHeight="true" outlineLevel="0" collapsed="false">
      <c r="A587" s="12" t="n">
        <v>42223</v>
      </c>
      <c r="B587" s="13" t="n">
        <v>120326.876292698</v>
      </c>
      <c r="C587" s="13" t="n">
        <v>123707.761573167</v>
      </c>
      <c r="D587" s="14" t="n">
        <v>3088</v>
      </c>
      <c r="E587" s="15" t="n">
        <f aca="false">B587/D587</f>
        <v>38.9659573486716</v>
      </c>
      <c r="F587" s="15" t="n">
        <f aca="false">C587/D587</f>
        <v>40.0608036182536</v>
      </c>
      <c r="G587" s="13" t="n">
        <f aca="false">B587-C587</f>
        <v>-3380.885280469</v>
      </c>
      <c r="H587" s="16" t="n">
        <f aca="false">G587/B587</f>
        <v>-0.0280975072621757</v>
      </c>
      <c r="I587" s="15" t="n">
        <f aca="false">G587/D587</f>
        <v>-1.09484626958193</v>
      </c>
      <c r="J587" s="16" t="n">
        <f aca="false">I587/E587</f>
        <v>-0.0280975072621757</v>
      </c>
      <c r="K587" s="17" t="str">
        <f aca="false">TEXT(A587,"dddd")</f>
        <v>Friday</v>
      </c>
      <c r="L587" s="17" t="str">
        <f aca="false">IF(AND(A587&gt;=DATE(2014,9,24),A587&lt;=DATE(2014,10,6)),"Promo 1",IF(AND(A587&gt;=DATE(2014,9,10),A587&lt;=DATE(2014,9,23)),"Baseline 1",IF(AND(A587&gt;=DATE(2015,9,23),A587&lt;=DATE(2015,10,6)),"Promo 2",IF(AND(A587&gt;=DATE(2015,9,9),A587&lt;=DATE(2015,9,22)),"Baseline 2",IF(AND(A587&gt;=DATE(2016,6,23),A587&lt;=DATE(2016,7,6)),"Promo 3",IF(AND(A587&gt;=DATE(2016,6,9),A587&lt;=DATE(2016,6,22)),"Baseline 3","Other"))))))</f>
        <v>Other</v>
      </c>
    </row>
    <row r="588" customFormat="false" ht="15" hidden="false" customHeight="true" outlineLevel="0" collapsed="false">
      <c r="A588" s="12" t="n">
        <v>42224</v>
      </c>
      <c r="B588" s="13" t="n">
        <v>131867.993504016</v>
      </c>
      <c r="C588" s="13" t="n">
        <v>135721.426030331</v>
      </c>
      <c r="D588" s="14" t="n">
        <v>3388</v>
      </c>
      <c r="E588" s="15" t="n">
        <f aca="false">B588/D588</f>
        <v>38.9220760047273</v>
      </c>
      <c r="F588" s="15" t="n">
        <f aca="false">C588/D588</f>
        <v>40.0594527834507</v>
      </c>
      <c r="G588" s="13" t="n">
        <f aca="false">B588-C588</f>
        <v>-3853.43252631501</v>
      </c>
      <c r="H588" s="16" t="n">
        <f aca="false">G588/B588</f>
        <v>-0.0292218939859554</v>
      </c>
      <c r="I588" s="15" t="n">
        <f aca="false">G588/D588</f>
        <v>-1.13737677872344</v>
      </c>
      <c r="J588" s="16" t="n">
        <f aca="false">I588/E588</f>
        <v>-0.0292218939859554</v>
      </c>
      <c r="K588" s="17" t="str">
        <f aca="false">TEXT(A588,"dddd")</f>
        <v>Saturday</v>
      </c>
      <c r="L588" s="17" t="str">
        <f aca="false">IF(AND(A588&gt;=DATE(2014,9,24),A588&lt;=DATE(2014,10,6)),"Promo 1",IF(AND(A588&gt;=DATE(2014,9,10),A588&lt;=DATE(2014,9,23)),"Baseline 1",IF(AND(A588&gt;=DATE(2015,9,23),A588&lt;=DATE(2015,10,6)),"Promo 2",IF(AND(A588&gt;=DATE(2015,9,9),A588&lt;=DATE(2015,9,22)),"Baseline 2",IF(AND(A588&gt;=DATE(2016,6,23),A588&lt;=DATE(2016,7,6)),"Promo 3",IF(AND(A588&gt;=DATE(2016,6,9),A588&lt;=DATE(2016,6,22)),"Baseline 3","Other"))))))</f>
        <v>Other</v>
      </c>
    </row>
    <row r="589" customFormat="false" ht="15" hidden="false" customHeight="true" outlineLevel="0" collapsed="false">
      <c r="A589" s="12" t="n">
        <v>42225</v>
      </c>
      <c r="B589" s="13" t="n">
        <v>75504.0027426205</v>
      </c>
      <c r="C589" s="13" t="n">
        <v>77978.6944714788</v>
      </c>
      <c r="D589" s="14" t="n">
        <v>1944</v>
      </c>
      <c r="E589" s="15" t="n">
        <f aca="false">B589/D589</f>
        <v>38.8395075836525</v>
      </c>
      <c r="F589" s="15" t="n">
        <f aca="false">C589/D589</f>
        <v>40.1124971561105</v>
      </c>
      <c r="G589" s="13" t="n">
        <f aca="false">B589-C589</f>
        <v>-2474.69172885829</v>
      </c>
      <c r="H589" s="16" t="n">
        <f aca="false">G589/B589</f>
        <v>-0.0327756362440024</v>
      </c>
      <c r="I589" s="15" t="n">
        <f aca="false">G589/D589</f>
        <v>-1.27298957245797</v>
      </c>
      <c r="J589" s="16" t="n">
        <f aca="false">I589/E589</f>
        <v>-0.0327756362440024</v>
      </c>
      <c r="K589" s="17" t="str">
        <f aca="false">TEXT(A589,"dddd")</f>
        <v>Sunday</v>
      </c>
      <c r="L589" s="17" t="str">
        <f aca="false">IF(AND(A589&gt;=DATE(2014,9,24),A589&lt;=DATE(2014,10,6)),"Promo 1",IF(AND(A589&gt;=DATE(2014,9,10),A589&lt;=DATE(2014,9,23)),"Baseline 1",IF(AND(A589&gt;=DATE(2015,9,23),A589&lt;=DATE(2015,10,6)),"Promo 2",IF(AND(A589&gt;=DATE(2015,9,9),A589&lt;=DATE(2015,9,22)),"Baseline 2",IF(AND(A589&gt;=DATE(2016,6,23),A589&lt;=DATE(2016,7,6)),"Promo 3",IF(AND(A589&gt;=DATE(2016,6,9),A589&lt;=DATE(2016,6,22)),"Baseline 3","Other"))))))</f>
        <v>Other</v>
      </c>
    </row>
    <row r="590" customFormat="false" ht="15" hidden="false" customHeight="true" outlineLevel="0" collapsed="false">
      <c r="A590" s="12" t="n">
        <v>42226</v>
      </c>
      <c r="B590" s="13" t="n">
        <v>69968.0776990805</v>
      </c>
      <c r="C590" s="13" t="n">
        <v>72665.7255271172</v>
      </c>
      <c r="D590" s="14" t="n">
        <v>1812</v>
      </c>
      <c r="E590" s="15" t="n">
        <f aca="false">B590/D590</f>
        <v>38.6137294145036</v>
      </c>
      <c r="F590" s="15" t="n">
        <f aca="false">C590/D590</f>
        <v>40.1024975315216</v>
      </c>
      <c r="G590" s="13" t="n">
        <f aca="false">B590-C590</f>
        <v>-2697.6478280367</v>
      </c>
      <c r="H590" s="16" t="n">
        <f aca="false">G590/B590</f>
        <v>-0.0385554086484807</v>
      </c>
      <c r="I590" s="15" t="n">
        <f aca="false">G590/D590</f>
        <v>-1.48876811701805</v>
      </c>
      <c r="J590" s="16" t="n">
        <f aca="false">I590/E590</f>
        <v>-0.0385554086484807</v>
      </c>
      <c r="K590" s="17" t="str">
        <f aca="false">TEXT(A590,"dddd")</f>
        <v>Monday</v>
      </c>
      <c r="L590" s="17" t="str">
        <f aca="false">IF(AND(A590&gt;=DATE(2014,9,24),A590&lt;=DATE(2014,10,6)),"Promo 1",IF(AND(A590&gt;=DATE(2014,9,10),A590&lt;=DATE(2014,9,23)),"Baseline 1",IF(AND(A590&gt;=DATE(2015,9,23),A590&lt;=DATE(2015,10,6)),"Promo 2",IF(AND(A590&gt;=DATE(2015,9,9),A590&lt;=DATE(2015,9,22)),"Baseline 2",IF(AND(A590&gt;=DATE(2016,6,23),A590&lt;=DATE(2016,7,6)),"Promo 3",IF(AND(A590&gt;=DATE(2016,6,9),A590&lt;=DATE(2016,6,22)),"Baseline 3","Other"))))))</f>
        <v>Other</v>
      </c>
    </row>
    <row r="591" customFormat="false" ht="15" hidden="false" customHeight="true" outlineLevel="0" collapsed="false">
      <c r="A591" s="12" t="n">
        <v>42227</v>
      </c>
      <c r="B591" s="13" t="n">
        <v>60187.1490472804</v>
      </c>
      <c r="C591" s="13" t="n">
        <v>62538.493277925</v>
      </c>
      <c r="D591" s="14" t="n">
        <v>1563</v>
      </c>
      <c r="E591" s="15" t="n">
        <f aca="false">B591/D591</f>
        <v>38.5074530052978</v>
      </c>
      <c r="F591" s="15" t="n">
        <f aca="false">C591/D591</f>
        <v>40.0118319116603</v>
      </c>
      <c r="G591" s="13" t="n">
        <f aca="false">B591-C591</f>
        <v>-2351.3442306446</v>
      </c>
      <c r="H591" s="16" t="n">
        <f aca="false">G591/B591</f>
        <v>-0.0390672139794741</v>
      </c>
      <c r="I591" s="15" t="n">
        <f aca="false">G591/D591</f>
        <v>-1.50437890636251</v>
      </c>
      <c r="J591" s="16" t="n">
        <f aca="false">I591/E591</f>
        <v>-0.0390672139794741</v>
      </c>
      <c r="K591" s="17" t="str">
        <f aca="false">TEXT(A591,"dddd")</f>
        <v>Tuesday</v>
      </c>
      <c r="L591" s="17" t="str">
        <f aca="false">IF(AND(A591&gt;=DATE(2014,9,24),A591&lt;=DATE(2014,10,6)),"Promo 1",IF(AND(A591&gt;=DATE(2014,9,10),A591&lt;=DATE(2014,9,23)),"Baseline 1",IF(AND(A591&gt;=DATE(2015,9,23),A591&lt;=DATE(2015,10,6)),"Promo 2",IF(AND(A591&gt;=DATE(2015,9,9),A591&lt;=DATE(2015,9,22)),"Baseline 2",IF(AND(A591&gt;=DATE(2016,6,23),A591&lt;=DATE(2016,7,6)),"Promo 3",IF(AND(A591&gt;=DATE(2016,6,9),A591&lt;=DATE(2016,6,22)),"Baseline 3","Other"))))))</f>
        <v>Other</v>
      </c>
    </row>
    <row r="592" customFormat="false" ht="15" hidden="false" customHeight="true" outlineLevel="0" collapsed="false">
      <c r="A592" s="12" t="n">
        <v>42228</v>
      </c>
      <c r="B592" s="13" t="n">
        <v>44698.7007510953</v>
      </c>
      <c r="C592" s="13" t="n">
        <v>46849.5671464748</v>
      </c>
      <c r="D592" s="14" t="n">
        <v>1171</v>
      </c>
      <c r="E592" s="15" t="n">
        <f aca="false">B592/D592</f>
        <v>38.1713926140865</v>
      </c>
      <c r="F592" s="15" t="n">
        <f aca="false">C592/D592</f>
        <v>40.0081700653073</v>
      </c>
      <c r="G592" s="13" t="n">
        <f aca="false">B592-C592</f>
        <v>-2150.8663953795</v>
      </c>
      <c r="H592" s="16" t="n">
        <f aca="false">G592/B592</f>
        <v>-0.0481192150831543</v>
      </c>
      <c r="I592" s="15" t="n">
        <f aca="false">G592/D592</f>
        <v>-1.83677745122075</v>
      </c>
      <c r="J592" s="16" t="n">
        <f aca="false">I592/E592</f>
        <v>-0.0481192150831543</v>
      </c>
      <c r="K592" s="17" t="str">
        <f aca="false">TEXT(A592,"dddd")</f>
        <v>Wednesday</v>
      </c>
      <c r="L592" s="17" t="str">
        <f aca="false">IF(AND(A592&gt;=DATE(2014,9,24),A592&lt;=DATE(2014,10,6)),"Promo 1",IF(AND(A592&gt;=DATE(2014,9,10),A592&lt;=DATE(2014,9,23)),"Baseline 1",IF(AND(A592&gt;=DATE(2015,9,23),A592&lt;=DATE(2015,10,6)),"Promo 2",IF(AND(A592&gt;=DATE(2015,9,9),A592&lt;=DATE(2015,9,22)),"Baseline 2",IF(AND(A592&gt;=DATE(2016,6,23),A592&lt;=DATE(2016,7,6)),"Promo 3",IF(AND(A592&gt;=DATE(2016,6,9),A592&lt;=DATE(2016,6,22)),"Baseline 3","Other"))))))</f>
        <v>Other</v>
      </c>
    </row>
    <row r="593" customFormat="false" ht="15" hidden="false" customHeight="true" outlineLevel="0" collapsed="false">
      <c r="A593" s="12" t="n">
        <v>42229</v>
      </c>
      <c r="B593" s="13" t="n">
        <v>39463.4090599303</v>
      </c>
      <c r="C593" s="13" t="n">
        <v>41414.4183701398</v>
      </c>
      <c r="D593" s="14" t="n">
        <v>1035</v>
      </c>
      <c r="E593" s="15" t="n">
        <f aca="false">B593/D593</f>
        <v>38.1288976424447</v>
      </c>
      <c r="F593" s="15" t="n">
        <f aca="false">C593/D593</f>
        <v>40.0139307924056</v>
      </c>
      <c r="G593" s="13" t="n">
        <f aca="false">B593-C593</f>
        <v>-1951.0093102095</v>
      </c>
      <c r="H593" s="16" t="n">
        <f aca="false">G593/B593</f>
        <v>-0.0494384382060515</v>
      </c>
      <c r="I593" s="15" t="n">
        <f aca="false">G593/D593</f>
        <v>-1.88503314996087</v>
      </c>
      <c r="J593" s="16" t="n">
        <f aca="false">I593/E593</f>
        <v>-0.0494384382060515</v>
      </c>
      <c r="K593" s="17" t="str">
        <f aca="false">TEXT(A593,"dddd")</f>
        <v>Thursday</v>
      </c>
      <c r="L593" s="17" t="str">
        <f aca="false">IF(AND(A593&gt;=DATE(2014,9,24),A593&lt;=DATE(2014,10,6)),"Promo 1",IF(AND(A593&gt;=DATE(2014,9,10),A593&lt;=DATE(2014,9,23)),"Baseline 1",IF(AND(A593&gt;=DATE(2015,9,23),A593&lt;=DATE(2015,10,6)),"Promo 2",IF(AND(A593&gt;=DATE(2015,9,9),A593&lt;=DATE(2015,9,22)),"Baseline 2",IF(AND(A593&gt;=DATE(2016,6,23),A593&lt;=DATE(2016,7,6)),"Promo 3",IF(AND(A593&gt;=DATE(2016,6,9),A593&lt;=DATE(2016,6,22)),"Baseline 3","Other"))))))</f>
        <v>Other</v>
      </c>
    </row>
    <row r="594" customFormat="false" ht="15" hidden="false" customHeight="true" outlineLevel="0" collapsed="false">
      <c r="A594" s="12" t="n">
        <v>42230</v>
      </c>
      <c r="B594" s="13" t="n">
        <v>85794.0969026203</v>
      </c>
      <c r="C594" s="13" t="n">
        <v>89898.8942275</v>
      </c>
      <c r="D594" s="14" t="n">
        <v>2247</v>
      </c>
      <c r="E594" s="15" t="n">
        <f aca="false">B594/D594</f>
        <v>38.1816185592436</v>
      </c>
      <c r="F594" s="15" t="n">
        <f aca="false">C594/D594</f>
        <v>40.0084086459724</v>
      </c>
      <c r="G594" s="13" t="n">
        <f aca="false">B594-C594</f>
        <v>-4104.79732487971</v>
      </c>
      <c r="H594" s="16" t="n">
        <f aca="false">G594/B594</f>
        <v>-0.0478447524138964</v>
      </c>
      <c r="I594" s="15" t="n">
        <f aca="false">G594/D594</f>
        <v>-1.82679008672884</v>
      </c>
      <c r="J594" s="16" t="n">
        <f aca="false">I594/E594</f>
        <v>-0.0478447524138964</v>
      </c>
      <c r="K594" s="17" t="str">
        <f aca="false">TEXT(A594,"dddd")</f>
        <v>Friday</v>
      </c>
      <c r="L594" s="17" t="str">
        <f aca="false">IF(AND(A594&gt;=DATE(2014,9,24),A594&lt;=DATE(2014,10,6)),"Promo 1",IF(AND(A594&gt;=DATE(2014,9,10),A594&lt;=DATE(2014,9,23)),"Baseline 1",IF(AND(A594&gt;=DATE(2015,9,23),A594&lt;=DATE(2015,10,6)),"Promo 2",IF(AND(A594&gt;=DATE(2015,9,9),A594&lt;=DATE(2015,9,22)),"Baseline 2",IF(AND(A594&gt;=DATE(2016,6,23),A594&lt;=DATE(2016,7,6)),"Promo 3",IF(AND(A594&gt;=DATE(2016,6,9),A594&lt;=DATE(2016,6,22)),"Baseline 3","Other"))))))</f>
        <v>Other</v>
      </c>
    </row>
    <row r="595" customFormat="false" ht="15" hidden="false" customHeight="true" outlineLevel="0" collapsed="false">
      <c r="A595" s="12" t="n">
        <v>42231</v>
      </c>
      <c r="B595" s="13" t="n">
        <v>117288.010053802</v>
      </c>
      <c r="C595" s="13" t="n">
        <v>122504.357202297</v>
      </c>
      <c r="D595" s="14" t="n">
        <v>3068</v>
      </c>
      <c r="E595" s="15" t="n">
        <f aca="false">B595/D595</f>
        <v>38.2294687267934</v>
      </c>
      <c r="F595" s="15" t="n">
        <f aca="false">C595/D595</f>
        <v>39.9297122562898</v>
      </c>
      <c r="G595" s="13" t="n">
        <f aca="false">B595-C595</f>
        <v>-5216.347148495</v>
      </c>
      <c r="H595" s="16" t="n">
        <f aca="false">G595/B595</f>
        <v>-0.044474683696161</v>
      </c>
      <c r="I595" s="15" t="n">
        <f aca="false">G595/D595</f>
        <v>-1.70024352949641</v>
      </c>
      <c r="J595" s="16" t="n">
        <f aca="false">I595/E595</f>
        <v>-0.044474683696161</v>
      </c>
      <c r="K595" s="17" t="str">
        <f aca="false">TEXT(A595,"dddd")</f>
        <v>Saturday</v>
      </c>
      <c r="L595" s="17" t="str">
        <f aca="false">IF(AND(A595&gt;=DATE(2014,9,24),A595&lt;=DATE(2014,10,6)),"Promo 1",IF(AND(A595&gt;=DATE(2014,9,10),A595&lt;=DATE(2014,9,23)),"Baseline 1",IF(AND(A595&gt;=DATE(2015,9,23),A595&lt;=DATE(2015,10,6)),"Promo 2",IF(AND(A595&gt;=DATE(2015,9,9),A595&lt;=DATE(2015,9,22)),"Baseline 2",IF(AND(A595&gt;=DATE(2016,6,23),A595&lt;=DATE(2016,7,6)),"Promo 3",IF(AND(A595&gt;=DATE(2016,6,9),A595&lt;=DATE(2016,6,22)),"Baseline 3","Other"))))))</f>
        <v>Other</v>
      </c>
    </row>
    <row r="596" customFormat="false" ht="15" hidden="false" customHeight="true" outlineLevel="0" collapsed="false">
      <c r="A596" s="12" t="n">
        <v>42232</v>
      </c>
      <c r="B596" s="13" t="n">
        <v>71056.0610037805</v>
      </c>
      <c r="C596" s="13" t="n">
        <v>74589.1728662503</v>
      </c>
      <c r="D596" s="14" t="n">
        <v>1866</v>
      </c>
      <c r="E596" s="15" t="n">
        <f aca="false">B596/D596</f>
        <v>38.0793467330013</v>
      </c>
      <c r="F596" s="15" t="n">
        <f aca="false">C596/D596</f>
        <v>39.9727614502949</v>
      </c>
      <c r="G596" s="13" t="n">
        <f aca="false">B596-C596</f>
        <v>-3533.1118624698</v>
      </c>
      <c r="H596" s="16" t="n">
        <f aca="false">G596/B596</f>
        <v>-0.049722878140991</v>
      </c>
      <c r="I596" s="15" t="n">
        <f aca="false">G596/D596</f>
        <v>-1.89341471729357</v>
      </c>
      <c r="J596" s="16" t="n">
        <f aca="false">I596/E596</f>
        <v>-0.049722878140991</v>
      </c>
      <c r="K596" s="17" t="str">
        <f aca="false">TEXT(A596,"dddd")</f>
        <v>Sunday</v>
      </c>
      <c r="L596" s="17" t="str">
        <f aca="false">IF(AND(A596&gt;=DATE(2014,9,24),A596&lt;=DATE(2014,10,6)),"Promo 1",IF(AND(A596&gt;=DATE(2014,9,10),A596&lt;=DATE(2014,9,23)),"Baseline 1",IF(AND(A596&gt;=DATE(2015,9,23),A596&lt;=DATE(2015,10,6)),"Promo 2",IF(AND(A596&gt;=DATE(2015,9,9),A596&lt;=DATE(2015,9,22)),"Baseline 2",IF(AND(A596&gt;=DATE(2016,6,23),A596&lt;=DATE(2016,7,6)),"Promo 3",IF(AND(A596&gt;=DATE(2016,6,9),A596&lt;=DATE(2016,6,22)),"Baseline 3","Other"))))))</f>
        <v>Other</v>
      </c>
    </row>
    <row r="597" customFormat="false" ht="15" hidden="false" customHeight="true" outlineLevel="0" collapsed="false">
      <c r="A597" s="12" t="n">
        <v>42233</v>
      </c>
      <c r="B597" s="13" t="n">
        <v>64394.0744533304</v>
      </c>
      <c r="C597" s="13" t="n">
        <v>67505.2541392837</v>
      </c>
      <c r="D597" s="14" t="n">
        <v>1690</v>
      </c>
      <c r="E597" s="15" t="n">
        <f aca="false">B597/D597</f>
        <v>38.1030026351068</v>
      </c>
      <c r="F597" s="15" t="n">
        <f aca="false">C597/D597</f>
        <v>39.9439373605229</v>
      </c>
      <c r="G597" s="13" t="n">
        <f aca="false">B597-C597</f>
        <v>-3111.1796859533</v>
      </c>
      <c r="H597" s="16" t="n">
        <f aca="false">G597/B597</f>
        <v>-0.0483146890822715</v>
      </c>
      <c r="I597" s="15" t="n">
        <f aca="false">G597/D597</f>
        <v>-1.84093472541615</v>
      </c>
      <c r="J597" s="16" t="n">
        <f aca="false">I597/E597</f>
        <v>-0.0483146890822715</v>
      </c>
      <c r="K597" s="17" t="str">
        <f aca="false">TEXT(A597,"dddd")</f>
        <v>Monday</v>
      </c>
      <c r="L597" s="17" t="str">
        <f aca="false">IF(AND(A597&gt;=DATE(2014,9,24),A597&lt;=DATE(2014,10,6)),"Promo 1",IF(AND(A597&gt;=DATE(2014,9,10),A597&lt;=DATE(2014,9,23)),"Baseline 1",IF(AND(A597&gt;=DATE(2015,9,23),A597&lt;=DATE(2015,10,6)),"Promo 2",IF(AND(A597&gt;=DATE(2015,9,9),A597&lt;=DATE(2015,9,22)),"Baseline 2",IF(AND(A597&gt;=DATE(2016,6,23),A597&lt;=DATE(2016,7,6)),"Promo 3",IF(AND(A597&gt;=DATE(2016,6,9),A597&lt;=DATE(2016,6,22)),"Baseline 3","Other"))))))</f>
        <v>Other</v>
      </c>
    </row>
    <row r="598" customFormat="false" ht="15" hidden="false" customHeight="true" outlineLevel="0" collapsed="false">
      <c r="A598" s="12" t="n">
        <v>42234</v>
      </c>
      <c r="B598" s="13" t="n">
        <v>35165.9720827253</v>
      </c>
      <c r="C598" s="13" t="n">
        <v>36841.9673228138</v>
      </c>
      <c r="D598" s="14" t="n">
        <v>922</v>
      </c>
      <c r="E598" s="15" t="n">
        <f aca="false">B598/D598</f>
        <v>38.1409675517628</v>
      </c>
      <c r="F598" s="15" t="n">
        <f aca="false">C598/D598</f>
        <v>39.9587498078241</v>
      </c>
      <c r="G598" s="13" t="n">
        <f aca="false">B598-C598</f>
        <v>-1675.9952400885</v>
      </c>
      <c r="H598" s="16" t="n">
        <f aca="false">G598/B598</f>
        <v>-0.0476595737534526</v>
      </c>
      <c r="I598" s="15" t="n">
        <f aca="false">G598/D598</f>
        <v>-1.81778225606128</v>
      </c>
      <c r="J598" s="16" t="n">
        <f aca="false">I598/E598</f>
        <v>-0.0476595737534526</v>
      </c>
      <c r="K598" s="17" t="str">
        <f aca="false">TEXT(A598,"dddd")</f>
        <v>Tuesday</v>
      </c>
      <c r="L598" s="17" t="str">
        <f aca="false">IF(AND(A598&gt;=DATE(2014,9,24),A598&lt;=DATE(2014,10,6)),"Promo 1",IF(AND(A598&gt;=DATE(2014,9,10),A598&lt;=DATE(2014,9,23)),"Baseline 1",IF(AND(A598&gt;=DATE(2015,9,23),A598&lt;=DATE(2015,10,6)),"Promo 2",IF(AND(A598&gt;=DATE(2015,9,9),A598&lt;=DATE(2015,9,22)),"Baseline 2",IF(AND(A598&gt;=DATE(2016,6,23),A598&lt;=DATE(2016,7,6)),"Promo 3",IF(AND(A598&gt;=DATE(2016,6,9),A598&lt;=DATE(2016,6,22)),"Baseline 3","Other"))))))</f>
        <v>Other</v>
      </c>
    </row>
    <row r="599" customFormat="false" ht="15" hidden="false" customHeight="true" outlineLevel="0" collapsed="false">
      <c r="A599" s="12" t="n">
        <v>42235</v>
      </c>
      <c r="B599" s="13" t="n">
        <v>23234.1831951301</v>
      </c>
      <c r="C599" s="13" t="n">
        <v>24104.0859779125</v>
      </c>
      <c r="D599" s="14" t="n">
        <v>604</v>
      </c>
      <c r="E599" s="15" t="n">
        <f aca="false">B599/D599</f>
        <v>38.4671907204141</v>
      </c>
      <c r="F599" s="15" t="n">
        <f aca="false">C599/D599</f>
        <v>39.9074271157492</v>
      </c>
      <c r="G599" s="13" t="n">
        <f aca="false">B599-C599</f>
        <v>-869.902782782399</v>
      </c>
      <c r="H599" s="16" t="n">
        <f aca="false">G599/B599</f>
        <v>-0.037440644049184</v>
      </c>
      <c r="I599" s="15" t="n">
        <f aca="false">G599/D599</f>
        <v>-1.4402363953351</v>
      </c>
      <c r="J599" s="16" t="n">
        <f aca="false">I599/E599</f>
        <v>-0.037440644049184</v>
      </c>
      <c r="K599" s="17" t="str">
        <f aca="false">TEXT(A599,"dddd")</f>
        <v>Wednesday</v>
      </c>
      <c r="L599" s="17" t="str">
        <f aca="false">IF(AND(A599&gt;=DATE(2014,9,24),A599&lt;=DATE(2014,10,6)),"Promo 1",IF(AND(A599&gt;=DATE(2014,9,10),A599&lt;=DATE(2014,9,23)),"Baseline 1",IF(AND(A599&gt;=DATE(2015,9,23),A599&lt;=DATE(2015,10,6)),"Promo 2",IF(AND(A599&gt;=DATE(2015,9,9),A599&lt;=DATE(2015,9,22)),"Baseline 2",IF(AND(A599&gt;=DATE(2016,6,23),A599&lt;=DATE(2016,7,6)),"Promo 3",IF(AND(A599&gt;=DATE(2016,6,9),A599&lt;=DATE(2016,6,22)),"Baseline 3","Other"))))))</f>
        <v>Other</v>
      </c>
    </row>
    <row r="600" customFormat="false" ht="15" hidden="false" customHeight="true" outlineLevel="0" collapsed="false">
      <c r="A600" s="12" t="n">
        <v>42236</v>
      </c>
      <c r="B600" s="13" t="n">
        <v>24754.9571818001</v>
      </c>
      <c r="C600" s="13" t="n">
        <v>25407.1740703462</v>
      </c>
      <c r="D600" s="14" t="n">
        <v>643</v>
      </c>
      <c r="E600" s="15" t="n">
        <f aca="false">B600/D600</f>
        <v>38.4991558037327</v>
      </c>
      <c r="F600" s="15" t="n">
        <f aca="false">C600/D600</f>
        <v>39.5134900005384</v>
      </c>
      <c r="G600" s="13" t="n">
        <f aca="false">B600-C600</f>
        <v>-652.2168885461</v>
      </c>
      <c r="H600" s="16" t="n">
        <f aca="false">G600/B600</f>
        <v>-0.0263469204877321</v>
      </c>
      <c r="I600" s="15" t="n">
        <f aca="false">G600/D600</f>
        <v>-1.01433419680575</v>
      </c>
      <c r="J600" s="16" t="n">
        <f aca="false">I600/E600</f>
        <v>-0.0263469204877321</v>
      </c>
      <c r="K600" s="17" t="str">
        <f aca="false">TEXT(A600,"dddd")</f>
        <v>Thursday</v>
      </c>
      <c r="L600" s="17" t="str">
        <f aca="false">IF(AND(A600&gt;=DATE(2014,9,24),A600&lt;=DATE(2014,10,6)),"Promo 1",IF(AND(A600&gt;=DATE(2014,9,10),A600&lt;=DATE(2014,9,23)),"Baseline 1",IF(AND(A600&gt;=DATE(2015,9,23),A600&lt;=DATE(2015,10,6)),"Promo 2",IF(AND(A600&gt;=DATE(2015,9,9),A600&lt;=DATE(2015,9,22)),"Baseline 2",IF(AND(A600&gt;=DATE(2016,6,23),A600&lt;=DATE(2016,7,6)),"Promo 3",IF(AND(A600&gt;=DATE(2016,6,9),A600&lt;=DATE(2016,6,22)),"Baseline 3","Other"))))))</f>
        <v>Other</v>
      </c>
    </row>
    <row r="601" customFormat="false" ht="15" hidden="false" customHeight="true" outlineLevel="0" collapsed="false">
      <c r="A601" s="12" t="n">
        <v>42237</v>
      </c>
      <c r="B601" s="13" t="n">
        <v>76691.2830290555</v>
      </c>
      <c r="C601" s="13" t="n">
        <v>78691.9563155523</v>
      </c>
      <c r="D601" s="14" t="n">
        <v>2006</v>
      </c>
      <c r="E601" s="15" t="n">
        <f aca="false">B601/D601</f>
        <v>38.2309486685222</v>
      </c>
      <c r="F601" s="15" t="n">
        <f aca="false">C601/D601</f>
        <v>39.2282932779423</v>
      </c>
      <c r="G601" s="13" t="n">
        <f aca="false">B601-C601</f>
        <v>-2000.67328649681</v>
      </c>
      <c r="H601" s="16" t="n">
        <f aca="false">G601/B601</f>
        <v>-0.026087362311292</v>
      </c>
      <c r="I601" s="15" t="n">
        <f aca="false">G601/D601</f>
        <v>-0.997344609420143</v>
      </c>
      <c r="J601" s="16" t="n">
        <f aca="false">I601/E601</f>
        <v>-0.026087362311292</v>
      </c>
      <c r="K601" s="17" t="str">
        <f aca="false">TEXT(A601,"dddd")</f>
        <v>Friday</v>
      </c>
      <c r="L601" s="17" t="str">
        <f aca="false">IF(AND(A601&gt;=DATE(2014,9,24),A601&lt;=DATE(2014,10,6)),"Promo 1",IF(AND(A601&gt;=DATE(2014,9,10),A601&lt;=DATE(2014,9,23)),"Baseline 1",IF(AND(A601&gt;=DATE(2015,9,23),A601&lt;=DATE(2015,10,6)),"Promo 2",IF(AND(A601&gt;=DATE(2015,9,9),A601&lt;=DATE(2015,9,22)),"Baseline 2",IF(AND(A601&gt;=DATE(2016,6,23),A601&lt;=DATE(2016,7,6)),"Promo 3",IF(AND(A601&gt;=DATE(2016,6,9),A601&lt;=DATE(2016,6,22)),"Baseline 3","Other"))))))</f>
        <v>Other</v>
      </c>
    </row>
    <row r="602" customFormat="false" ht="15" hidden="false" customHeight="true" outlineLevel="0" collapsed="false">
      <c r="A602" s="12" t="n">
        <v>42238</v>
      </c>
      <c r="B602" s="13" t="n">
        <v>102231.211792358</v>
      </c>
      <c r="C602" s="13" t="n">
        <v>104713.007499776</v>
      </c>
      <c r="D602" s="14" t="n">
        <v>2677</v>
      </c>
      <c r="E602" s="15" t="n">
        <f aca="false">B602/D602</f>
        <v>38.1887231200441</v>
      </c>
      <c r="F602" s="15" t="n">
        <f aca="false">C602/D602</f>
        <v>39.1158040716384</v>
      </c>
      <c r="G602" s="13" t="n">
        <f aca="false">B602-C602</f>
        <v>-2481.795707418</v>
      </c>
      <c r="H602" s="16" t="n">
        <f aca="false">G602/B602</f>
        <v>-0.0242763013751493</v>
      </c>
      <c r="I602" s="15" t="n">
        <f aca="false">G602/D602</f>
        <v>-0.927080951594323</v>
      </c>
      <c r="J602" s="16" t="n">
        <f aca="false">I602/E602</f>
        <v>-0.0242763013751493</v>
      </c>
      <c r="K602" s="17" t="str">
        <f aca="false">TEXT(A602,"dddd")</f>
        <v>Saturday</v>
      </c>
      <c r="L602" s="17" t="str">
        <f aca="false">IF(AND(A602&gt;=DATE(2014,9,24),A602&lt;=DATE(2014,10,6)),"Promo 1",IF(AND(A602&gt;=DATE(2014,9,10),A602&lt;=DATE(2014,9,23)),"Baseline 1",IF(AND(A602&gt;=DATE(2015,9,23),A602&lt;=DATE(2015,10,6)),"Promo 2",IF(AND(A602&gt;=DATE(2015,9,9),A602&lt;=DATE(2015,9,22)),"Baseline 2",IF(AND(A602&gt;=DATE(2016,6,23),A602&lt;=DATE(2016,7,6)),"Promo 3",IF(AND(A602&gt;=DATE(2016,6,9),A602&lt;=DATE(2016,6,22)),"Baseline 3","Other"))))))</f>
        <v>Other</v>
      </c>
    </row>
    <row r="603" customFormat="false" ht="15" hidden="false" customHeight="true" outlineLevel="0" collapsed="false">
      <c r="A603" s="12" t="n">
        <v>42239</v>
      </c>
      <c r="B603" s="13" t="n">
        <v>56974.8680257904</v>
      </c>
      <c r="C603" s="13" t="n">
        <v>57548.9851534096</v>
      </c>
      <c r="D603" s="14" t="n">
        <v>1467</v>
      </c>
      <c r="E603" s="15" t="n">
        <f aca="false">B603/D603</f>
        <v>38.8376741825429</v>
      </c>
      <c r="F603" s="15" t="n">
        <f aca="false">C603/D603</f>
        <v>39.2290287344305</v>
      </c>
      <c r="G603" s="13" t="n">
        <f aca="false">B603-C603</f>
        <v>-574.117127619204</v>
      </c>
      <c r="H603" s="16" t="n">
        <f aca="false">G603/B603</f>
        <v>-0.0100766732335268</v>
      </c>
      <c r="I603" s="15" t="n">
        <f aca="false">G603/D603</f>
        <v>-0.391354551887664</v>
      </c>
      <c r="J603" s="16" t="n">
        <f aca="false">I603/E603</f>
        <v>-0.0100766732335268</v>
      </c>
      <c r="K603" s="17" t="str">
        <f aca="false">TEXT(A603,"dddd")</f>
        <v>Sunday</v>
      </c>
      <c r="L603" s="17" t="str">
        <f aca="false">IF(AND(A603&gt;=DATE(2014,9,24),A603&lt;=DATE(2014,10,6)),"Promo 1",IF(AND(A603&gt;=DATE(2014,9,10),A603&lt;=DATE(2014,9,23)),"Baseline 1",IF(AND(A603&gt;=DATE(2015,9,23),A603&lt;=DATE(2015,10,6)),"Promo 2",IF(AND(A603&gt;=DATE(2015,9,9),A603&lt;=DATE(2015,9,22)),"Baseline 2",IF(AND(A603&gt;=DATE(2016,6,23),A603&lt;=DATE(2016,7,6)),"Promo 3",IF(AND(A603&gt;=DATE(2016,6,9),A603&lt;=DATE(2016,6,22)),"Baseline 3","Other"))))))</f>
        <v>Other</v>
      </c>
    </row>
    <row r="604" customFormat="false" ht="15" hidden="false" customHeight="true" outlineLevel="0" collapsed="false">
      <c r="A604" s="12" t="n">
        <v>42240</v>
      </c>
      <c r="B604" s="13" t="n">
        <v>59442.7311151654</v>
      </c>
      <c r="C604" s="13" t="n">
        <v>59785.4286145638</v>
      </c>
      <c r="D604" s="14" t="n">
        <v>1528</v>
      </c>
      <c r="E604" s="15" t="n">
        <f aca="false">B604/D604</f>
        <v>38.9023109392444</v>
      </c>
      <c r="F604" s="15" t="n">
        <f aca="false">C604/D604</f>
        <v>39.126589407437</v>
      </c>
      <c r="G604" s="13" t="n">
        <f aca="false">B604-C604</f>
        <v>-342.697499398404</v>
      </c>
      <c r="H604" s="16" t="n">
        <f aca="false">G604/B604</f>
        <v>-0.0057651708286158</v>
      </c>
      <c r="I604" s="15" t="n">
        <f aca="false">G604/D604</f>
        <v>-0.224278468192673</v>
      </c>
      <c r="J604" s="16" t="n">
        <f aca="false">I604/E604</f>
        <v>-0.0057651708286158</v>
      </c>
      <c r="K604" s="17" t="str">
        <f aca="false">TEXT(A604,"dddd")</f>
        <v>Monday</v>
      </c>
      <c r="L604" s="17" t="str">
        <f aca="false">IF(AND(A604&gt;=DATE(2014,9,24),A604&lt;=DATE(2014,10,6)),"Promo 1",IF(AND(A604&gt;=DATE(2014,9,10),A604&lt;=DATE(2014,9,23)),"Baseline 1",IF(AND(A604&gt;=DATE(2015,9,23),A604&lt;=DATE(2015,10,6)),"Promo 2",IF(AND(A604&gt;=DATE(2015,9,9),A604&lt;=DATE(2015,9,22)),"Baseline 2",IF(AND(A604&gt;=DATE(2016,6,23),A604&lt;=DATE(2016,7,6)),"Promo 3",IF(AND(A604&gt;=DATE(2016,6,9),A604&lt;=DATE(2016,6,22)),"Baseline 3","Other"))))))</f>
        <v>Other</v>
      </c>
    </row>
    <row r="605" customFormat="false" ht="15" hidden="false" customHeight="true" outlineLevel="0" collapsed="false">
      <c r="A605" s="12" t="n">
        <v>42241</v>
      </c>
      <c r="B605" s="13" t="n">
        <v>217683.362264025</v>
      </c>
      <c r="C605" s="13" t="n">
        <v>246975.730765643</v>
      </c>
      <c r="D605" s="14" t="n">
        <v>6360</v>
      </c>
      <c r="E605" s="15" t="n">
        <f aca="false">B605/D605</f>
        <v>34.2269437522052</v>
      </c>
      <c r="F605" s="15" t="n">
        <f aca="false">C605/D605</f>
        <v>38.8326620700697</v>
      </c>
      <c r="G605" s="13" t="n">
        <f aca="false">B605-C605</f>
        <v>-29292.368501618</v>
      </c>
      <c r="H605" s="16" t="n">
        <f aca="false">G605/B605</f>
        <v>-0.134564112741376</v>
      </c>
      <c r="I605" s="15" t="n">
        <f aca="false">G605/D605</f>
        <v>-4.60571831786447</v>
      </c>
      <c r="J605" s="16" t="n">
        <f aca="false">I605/E605</f>
        <v>-0.134564112741376</v>
      </c>
      <c r="K605" s="17" t="str">
        <f aca="false">TEXT(A605,"dddd")</f>
        <v>Tuesday</v>
      </c>
      <c r="L605" s="17" t="str">
        <f aca="false">IF(AND(A605&gt;=DATE(2014,9,24),A605&lt;=DATE(2014,10,6)),"Promo 1",IF(AND(A605&gt;=DATE(2014,9,10),A605&lt;=DATE(2014,9,23)),"Baseline 1",IF(AND(A605&gt;=DATE(2015,9,23),A605&lt;=DATE(2015,10,6)),"Promo 2",IF(AND(A605&gt;=DATE(2015,9,9),A605&lt;=DATE(2015,9,22)),"Baseline 2",IF(AND(A605&gt;=DATE(2016,6,23),A605&lt;=DATE(2016,7,6)),"Promo 3",IF(AND(A605&gt;=DATE(2016,6,9),A605&lt;=DATE(2016,6,22)),"Baseline 3","Other"))))))</f>
        <v>Other</v>
      </c>
    </row>
    <row r="606" customFormat="false" ht="15" hidden="false" customHeight="true" outlineLevel="0" collapsed="false">
      <c r="A606" s="12" t="n">
        <v>42242</v>
      </c>
      <c r="B606" s="13" t="n">
        <v>275458.806896196</v>
      </c>
      <c r="C606" s="13" t="n">
        <v>307092.274379028</v>
      </c>
      <c r="D606" s="14" t="n">
        <v>8035</v>
      </c>
      <c r="E606" s="15" t="n">
        <f aca="false">B606/D606</f>
        <v>34.2823655129055</v>
      </c>
      <c r="F606" s="15" t="n">
        <f aca="false">C606/D606</f>
        <v>38.2193247515903</v>
      </c>
      <c r="G606" s="13" t="n">
        <f aca="false">B606-C606</f>
        <v>-31633.467482832</v>
      </c>
      <c r="H606" s="16" t="n">
        <f aca="false">G606/B606</f>
        <v>-0.114839194430813</v>
      </c>
      <c r="I606" s="15" t="n">
        <f aca="false">G606/D606</f>
        <v>-3.93695923868476</v>
      </c>
      <c r="J606" s="16" t="n">
        <f aca="false">I606/E606</f>
        <v>-0.114839194430813</v>
      </c>
      <c r="K606" s="17" t="str">
        <f aca="false">TEXT(A606,"dddd")</f>
        <v>Wednesday</v>
      </c>
      <c r="L606" s="17" t="str">
        <f aca="false">IF(AND(A606&gt;=DATE(2014,9,24),A606&lt;=DATE(2014,10,6)),"Promo 1",IF(AND(A606&gt;=DATE(2014,9,10),A606&lt;=DATE(2014,9,23)),"Baseline 1",IF(AND(A606&gt;=DATE(2015,9,23),A606&lt;=DATE(2015,10,6)),"Promo 2",IF(AND(A606&gt;=DATE(2015,9,9),A606&lt;=DATE(2015,9,22)),"Baseline 2",IF(AND(A606&gt;=DATE(2016,6,23),A606&lt;=DATE(2016,7,6)),"Promo 3",IF(AND(A606&gt;=DATE(2016,6,9),A606&lt;=DATE(2016,6,22)),"Baseline 3","Other"))))))</f>
        <v>Other</v>
      </c>
    </row>
    <row r="607" customFormat="false" ht="15" hidden="false" customHeight="true" outlineLevel="0" collapsed="false">
      <c r="A607" s="12" t="n">
        <v>42243</v>
      </c>
      <c r="B607" s="13" t="n">
        <v>228731.865486527</v>
      </c>
      <c r="C607" s="13" t="n">
        <v>252845.445553577</v>
      </c>
      <c r="D607" s="14" t="n">
        <v>6675</v>
      </c>
      <c r="E607" s="15" t="n">
        <f aca="false">B607/D607</f>
        <v>34.2669461403037</v>
      </c>
      <c r="F607" s="15" t="n">
        <f aca="false">C607/D607</f>
        <v>37.8794674986632</v>
      </c>
      <c r="G607" s="13" t="n">
        <f aca="false">B607-C607</f>
        <v>-24113.58006705</v>
      </c>
      <c r="H607" s="16" t="n">
        <f aca="false">G607/B607</f>
        <v>-0.105422915236401</v>
      </c>
      <c r="I607" s="15" t="n">
        <f aca="false">G607/D607</f>
        <v>-3.61252135835955</v>
      </c>
      <c r="J607" s="16" t="n">
        <f aca="false">I607/E607</f>
        <v>-0.105422915236401</v>
      </c>
      <c r="K607" s="17" t="str">
        <f aca="false">TEXT(A607,"dddd")</f>
        <v>Thursday</v>
      </c>
      <c r="L607" s="17" t="str">
        <f aca="false">IF(AND(A607&gt;=DATE(2014,9,24),A607&lt;=DATE(2014,10,6)),"Promo 1",IF(AND(A607&gt;=DATE(2014,9,10),A607&lt;=DATE(2014,9,23)),"Baseline 1",IF(AND(A607&gt;=DATE(2015,9,23),A607&lt;=DATE(2015,10,6)),"Promo 2",IF(AND(A607&gt;=DATE(2015,9,9),A607&lt;=DATE(2015,9,22)),"Baseline 2",IF(AND(A607&gt;=DATE(2016,6,23),A607&lt;=DATE(2016,7,6)),"Promo 3",IF(AND(A607&gt;=DATE(2016,6,9),A607&lt;=DATE(2016,6,22)),"Baseline 3","Other"))))))</f>
        <v>Other</v>
      </c>
    </row>
    <row r="608" customFormat="false" ht="15" hidden="false" customHeight="true" outlineLevel="0" collapsed="false">
      <c r="A608" s="12" t="n">
        <v>42244</v>
      </c>
      <c r="B608" s="13" t="n">
        <v>387639.119999522</v>
      </c>
      <c r="C608" s="13" t="n">
        <v>426783.302218144</v>
      </c>
      <c r="D608" s="14" t="n">
        <v>11330</v>
      </c>
      <c r="E608" s="15" t="n">
        <f aca="false">B608/D608</f>
        <v>34.2135145630646</v>
      </c>
      <c r="F608" s="15" t="n">
        <f aca="false">C608/D608</f>
        <v>37.6684291454673</v>
      </c>
      <c r="G608" s="13" t="n">
        <f aca="false">B608-C608</f>
        <v>-39144.182218622</v>
      </c>
      <c r="H608" s="16" t="n">
        <f aca="false">G608/B608</f>
        <v>-0.100980990305288</v>
      </c>
      <c r="I608" s="15" t="n">
        <f aca="false">G608/D608</f>
        <v>-3.45491458240265</v>
      </c>
      <c r="J608" s="16" t="n">
        <f aca="false">I608/E608</f>
        <v>-0.100980990305288</v>
      </c>
      <c r="K608" s="17" t="str">
        <f aca="false">TEXT(A608,"dddd")</f>
        <v>Friday</v>
      </c>
      <c r="L608" s="17" t="str">
        <f aca="false">IF(AND(A608&gt;=DATE(2014,9,24),A608&lt;=DATE(2014,10,6)),"Promo 1",IF(AND(A608&gt;=DATE(2014,9,10),A608&lt;=DATE(2014,9,23)),"Baseline 1",IF(AND(A608&gt;=DATE(2015,9,23),A608&lt;=DATE(2015,10,6)),"Promo 2",IF(AND(A608&gt;=DATE(2015,9,9),A608&lt;=DATE(2015,9,22)),"Baseline 2",IF(AND(A608&gt;=DATE(2016,6,23),A608&lt;=DATE(2016,7,6)),"Promo 3",IF(AND(A608&gt;=DATE(2016,6,9),A608&lt;=DATE(2016,6,22)),"Baseline 3","Other"))))))</f>
        <v>Other</v>
      </c>
    </row>
    <row r="609" customFormat="false" ht="15" hidden="false" customHeight="true" outlineLevel="0" collapsed="false">
      <c r="A609" s="12" t="n">
        <v>42245</v>
      </c>
      <c r="B609" s="13" t="n">
        <v>461188.004851735</v>
      </c>
      <c r="C609" s="13" t="n">
        <v>504578.188757227</v>
      </c>
      <c r="D609" s="14" t="n">
        <v>13484</v>
      </c>
      <c r="E609" s="15" t="n">
        <f aca="false">B609/D609</f>
        <v>34.2026108611491</v>
      </c>
      <c r="F609" s="15" t="n">
        <f aca="false">C609/D609</f>
        <v>37.4205123670444</v>
      </c>
      <c r="G609" s="13" t="n">
        <f aca="false">B609-C609</f>
        <v>-43390.183905492</v>
      </c>
      <c r="H609" s="16" t="n">
        <f aca="false">G609/B609</f>
        <v>-0.0940835048809243</v>
      </c>
      <c r="I609" s="15" t="n">
        <f aca="false">G609/D609</f>
        <v>-3.21790150589528</v>
      </c>
      <c r="J609" s="16" t="n">
        <f aca="false">I609/E609</f>
        <v>-0.0940835048809243</v>
      </c>
      <c r="K609" s="17" t="str">
        <f aca="false">TEXT(A609,"dddd")</f>
        <v>Saturday</v>
      </c>
      <c r="L609" s="17" t="str">
        <f aca="false">IF(AND(A609&gt;=DATE(2014,9,24),A609&lt;=DATE(2014,10,6)),"Promo 1",IF(AND(A609&gt;=DATE(2014,9,10),A609&lt;=DATE(2014,9,23)),"Baseline 1",IF(AND(A609&gt;=DATE(2015,9,23),A609&lt;=DATE(2015,10,6)),"Promo 2",IF(AND(A609&gt;=DATE(2015,9,9),A609&lt;=DATE(2015,9,22)),"Baseline 2",IF(AND(A609&gt;=DATE(2016,6,23),A609&lt;=DATE(2016,7,6)),"Promo 3",IF(AND(A609&gt;=DATE(2016,6,9),A609&lt;=DATE(2016,6,22)),"Baseline 3","Other"))))))</f>
        <v>Other</v>
      </c>
    </row>
    <row r="610" customFormat="false" ht="15" hidden="false" customHeight="true" outlineLevel="0" collapsed="false">
      <c r="A610" s="12" t="n">
        <v>42246</v>
      </c>
      <c r="B610" s="13" t="n">
        <v>202249.677169425</v>
      </c>
      <c r="C610" s="13" t="n">
        <v>220152.186753958</v>
      </c>
      <c r="D610" s="14" t="n">
        <v>5913</v>
      </c>
      <c r="E610" s="15" t="n">
        <f aca="false">B610/D610</f>
        <v>34.204241023072</v>
      </c>
      <c r="F610" s="15" t="n">
        <f aca="false">C610/D610</f>
        <v>37.2318935826075</v>
      </c>
      <c r="G610" s="13" t="n">
        <f aca="false">B610-C610</f>
        <v>-17902.509584533</v>
      </c>
      <c r="H610" s="16" t="n">
        <f aca="false">G610/B610</f>
        <v>-0.0885168759480195</v>
      </c>
      <c r="I610" s="15" t="n">
        <f aca="false">G610/D610</f>
        <v>-3.02765255953543</v>
      </c>
      <c r="J610" s="16" t="n">
        <f aca="false">I610/E610</f>
        <v>-0.0885168759480196</v>
      </c>
      <c r="K610" s="17" t="str">
        <f aca="false">TEXT(A610,"dddd")</f>
        <v>Sunday</v>
      </c>
      <c r="L610" s="17" t="str">
        <f aca="false">IF(AND(A610&gt;=DATE(2014,9,24),A610&lt;=DATE(2014,10,6)),"Promo 1",IF(AND(A610&gt;=DATE(2014,9,10),A610&lt;=DATE(2014,9,23)),"Baseline 1",IF(AND(A610&gt;=DATE(2015,9,23),A610&lt;=DATE(2015,10,6)),"Promo 2",IF(AND(A610&gt;=DATE(2015,9,9),A610&lt;=DATE(2015,9,22)),"Baseline 2",IF(AND(A610&gt;=DATE(2016,6,23),A610&lt;=DATE(2016,7,6)),"Promo 3",IF(AND(A610&gt;=DATE(2016,6,9),A610&lt;=DATE(2016,6,22)),"Baseline 3","Other"))))))</f>
        <v>Other</v>
      </c>
    </row>
    <row r="611" customFormat="false" ht="15" hidden="false" customHeight="true" outlineLevel="0" collapsed="false">
      <c r="A611" s="12" t="n">
        <v>42247</v>
      </c>
      <c r="B611" s="13" t="n">
        <v>332559.764979086</v>
      </c>
      <c r="C611" s="13" t="n">
        <v>361970.285938652</v>
      </c>
      <c r="D611" s="14" t="n">
        <v>9721</v>
      </c>
      <c r="E611" s="15" t="n">
        <f aca="false">B611/D611</f>
        <v>34.2104479970256</v>
      </c>
      <c r="F611" s="15" t="n">
        <f aca="false">C611/D611</f>
        <v>37.2359104967238</v>
      </c>
      <c r="G611" s="13" t="n">
        <f aca="false">B611-C611</f>
        <v>-29410.520959566</v>
      </c>
      <c r="H611" s="16" t="n">
        <f aca="false">G611/B611</f>
        <v>-0.0884367986049532</v>
      </c>
      <c r="I611" s="15" t="n">
        <f aca="false">G611/D611</f>
        <v>-3.02546249969818</v>
      </c>
      <c r="J611" s="16" t="n">
        <f aca="false">I611/E611</f>
        <v>-0.0884367986049532</v>
      </c>
      <c r="K611" s="17" t="str">
        <f aca="false">TEXT(A611,"dddd")</f>
        <v>Monday</v>
      </c>
      <c r="L611" s="17" t="str">
        <f aca="false">IF(AND(A611&gt;=DATE(2014,9,24),A611&lt;=DATE(2014,10,6)),"Promo 1",IF(AND(A611&gt;=DATE(2014,9,10),A611&lt;=DATE(2014,9,23)),"Baseline 1",IF(AND(A611&gt;=DATE(2015,9,23),A611&lt;=DATE(2015,10,6)),"Promo 2",IF(AND(A611&gt;=DATE(2015,9,9),A611&lt;=DATE(2015,9,22)),"Baseline 2",IF(AND(A611&gt;=DATE(2016,6,23),A611&lt;=DATE(2016,7,6)),"Promo 3",IF(AND(A611&gt;=DATE(2016,6,9),A611&lt;=DATE(2016,6,22)),"Baseline 3","Other"))))))</f>
        <v>Other</v>
      </c>
    </row>
    <row r="612" customFormat="false" ht="15" hidden="false" customHeight="true" outlineLevel="0" collapsed="false">
      <c r="A612" s="12" t="n">
        <v>42248</v>
      </c>
      <c r="B612" s="13" t="n">
        <v>384806.771581978</v>
      </c>
      <c r="C612" s="13" t="n">
        <v>418101.59754836</v>
      </c>
      <c r="D612" s="14" t="n">
        <v>11257</v>
      </c>
      <c r="E612" s="15" t="n">
        <f aca="false">B612/D612</f>
        <v>34.1837764574912</v>
      </c>
      <c r="F612" s="15" t="n">
        <f aca="false">C612/D612</f>
        <v>37.1414761968873</v>
      </c>
      <c r="G612" s="13" t="n">
        <f aca="false">B612-C612</f>
        <v>-33294.825966382</v>
      </c>
      <c r="H612" s="16" t="n">
        <f aca="false">G612/B612</f>
        <v>-0.0865234928935989</v>
      </c>
      <c r="I612" s="15" t="n">
        <f aca="false">G612/D612</f>
        <v>-2.95769973939611</v>
      </c>
      <c r="J612" s="16" t="n">
        <f aca="false">I612/E612</f>
        <v>-0.0865234928935988</v>
      </c>
      <c r="K612" s="17" t="str">
        <f aca="false">TEXT(A612,"dddd")</f>
        <v>Tuesday</v>
      </c>
      <c r="L612" s="17" t="str">
        <f aca="false">IF(AND(A612&gt;=DATE(2014,9,24),A612&lt;=DATE(2014,10,6)),"Promo 1",IF(AND(A612&gt;=DATE(2014,9,10),A612&lt;=DATE(2014,9,23)),"Baseline 1",IF(AND(A612&gt;=DATE(2015,9,23),A612&lt;=DATE(2015,10,6)),"Promo 2",IF(AND(A612&gt;=DATE(2015,9,9),A612&lt;=DATE(2015,9,22)),"Baseline 2",IF(AND(A612&gt;=DATE(2016,6,23),A612&lt;=DATE(2016,7,6)),"Promo 3",IF(AND(A612&gt;=DATE(2016,6,9),A612&lt;=DATE(2016,6,22)),"Baseline 3","Other"))))))</f>
        <v>Other</v>
      </c>
    </row>
    <row r="613" customFormat="false" ht="15" hidden="false" customHeight="true" outlineLevel="0" collapsed="false">
      <c r="A613" s="12" t="n">
        <v>42249</v>
      </c>
      <c r="B613" s="13" t="n">
        <v>345776.250280376</v>
      </c>
      <c r="C613" s="13" t="n">
        <v>373816.168400634</v>
      </c>
      <c r="D613" s="14" t="n">
        <v>10102</v>
      </c>
      <c r="E613" s="15" t="n">
        <f aca="false">B613/D613</f>
        <v>34.2284943853075</v>
      </c>
      <c r="F613" s="15" t="n">
        <f aca="false">C613/D613</f>
        <v>37.004174262585</v>
      </c>
      <c r="G613" s="13" t="n">
        <f aca="false">B613-C613</f>
        <v>-28039.918120258</v>
      </c>
      <c r="H613" s="16" t="n">
        <f aca="false">G613/B613</f>
        <v>-0.0810926664209054</v>
      </c>
      <c r="I613" s="15" t="n">
        <f aca="false">G613/D613</f>
        <v>-2.77567987727757</v>
      </c>
      <c r="J613" s="16" t="n">
        <f aca="false">I613/E613</f>
        <v>-0.0810926664209054</v>
      </c>
      <c r="K613" s="17" t="str">
        <f aca="false">TEXT(A613,"dddd")</f>
        <v>Wednesday</v>
      </c>
      <c r="L613" s="17" t="str">
        <f aca="false">IF(AND(A613&gt;=DATE(2014,9,24),A613&lt;=DATE(2014,10,6)),"Promo 1",IF(AND(A613&gt;=DATE(2014,9,10),A613&lt;=DATE(2014,9,23)),"Baseline 1",IF(AND(A613&gt;=DATE(2015,9,23),A613&lt;=DATE(2015,10,6)),"Promo 2",IF(AND(A613&gt;=DATE(2015,9,9),A613&lt;=DATE(2015,9,22)),"Baseline 2",IF(AND(A613&gt;=DATE(2016,6,23),A613&lt;=DATE(2016,7,6)),"Promo 3",IF(AND(A613&gt;=DATE(2016,6,9),A613&lt;=DATE(2016,6,22)),"Baseline 3","Other"))))))</f>
        <v>Other</v>
      </c>
    </row>
    <row r="614" customFormat="false" ht="15" hidden="false" customHeight="true" outlineLevel="0" collapsed="false">
      <c r="A614" s="12" t="n">
        <v>42250</v>
      </c>
      <c r="B614" s="13" t="n">
        <v>271551.095100756</v>
      </c>
      <c r="C614" s="13" t="n">
        <v>293343.873973562</v>
      </c>
      <c r="D614" s="14" t="n">
        <v>7938</v>
      </c>
      <c r="E614" s="15" t="n">
        <f aca="false">B614/D614</f>
        <v>34.2090066894376</v>
      </c>
      <c r="F614" s="15" t="n">
        <f aca="false">C614/D614</f>
        <v>36.9543806970978</v>
      </c>
      <c r="G614" s="13" t="n">
        <f aca="false">B614-C614</f>
        <v>-21792.778872806</v>
      </c>
      <c r="H614" s="16" t="n">
        <f aca="false">G614/B614</f>
        <v>-0.080252958894237</v>
      </c>
      <c r="I614" s="15" t="n">
        <f aca="false">G614/D614</f>
        <v>-2.74537400766012</v>
      </c>
      <c r="J614" s="16" t="n">
        <f aca="false">I614/E614</f>
        <v>-0.080252958894237</v>
      </c>
      <c r="K614" s="17" t="str">
        <f aca="false">TEXT(A614,"dddd")</f>
        <v>Thursday</v>
      </c>
      <c r="L614" s="17" t="str">
        <f aca="false">IF(AND(A614&gt;=DATE(2014,9,24),A614&lt;=DATE(2014,10,6)),"Promo 1",IF(AND(A614&gt;=DATE(2014,9,10),A614&lt;=DATE(2014,9,23)),"Baseline 1",IF(AND(A614&gt;=DATE(2015,9,23),A614&lt;=DATE(2015,10,6)),"Promo 2",IF(AND(A614&gt;=DATE(2015,9,9),A614&lt;=DATE(2015,9,22)),"Baseline 2",IF(AND(A614&gt;=DATE(2016,6,23),A614&lt;=DATE(2016,7,6)),"Promo 3",IF(AND(A614&gt;=DATE(2016,6,9),A614&lt;=DATE(2016,6,22)),"Baseline 3","Other"))))))</f>
        <v>Other</v>
      </c>
    </row>
    <row r="615" customFormat="false" ht="15" hidden="false" customHeight="true" outlineLevel="0" collapsed="false">
      <c r="A615" s="12" t="n">
        <v>42251</v>
      </c>
      <c r="B615" s="13" t="n">
        <v>340440.205462086</v>
      </c>
      <c r="C615" s="13" t="n">
        <v>366359.658592485</v>
      </c>
      <c r="D615" s="14" t="n">
        <v>9936</v>
      </c>
      <c r="E615" s="15" t="n">
        <f aca="false">B615/D615</f>
        <v>34.2633057027059</v>
      </c>
      <c r="F615" s="15" t="n">
        <f aca="false">C615/D615</f>
        <v>36.8719463156688</v>
      </c>
      <c r="G615" s="13" t="n">
        <f aca="false">B615-C615</f>
        <v>-25919.453130399</v>
      </c>
      <c r="H615" s="16" t="n">
        <f aca="false">G615/B615</f>
        <v>-0.0761351118773355</v>
      </c>
      <c r="I615" s="15" t="n">
        <f aca="false">G615/D615</f>
        <v>-2.60864061296286</v>
      </c>
      <c r="J615" s="16" t="n">
        <f aca="false">I615/E615</f>
        <v>-0.0761351118773355</v>
      </c>
      <c r="K615" s="17" t="str">
        <f aca="false">TEXT(A615,"dddd")</f>
        <v>Friday</v>
      </c>
      <c r="L615" s="17" t="str">
        <f aca="false">IF(AND(A615&gt;=DATE(2014,9,24),A615&lt;=DATE(2014,10,6)),"Promo 1",IF(AND(A615&gt;=DATE(2014,9,10),A615&lt;=DATE(2014,9,23)),"Baseline 1",IF(AND(A615&gt;=DATE(2015,9,23),A615&lt;=DATE(2015,10,6)),"Promo 2",IF(AND(A615&gt;=DATE(2015,9,9),A615&lt;=DATE(2015,9,22)),"Baseline 2",IF(AND(A615&gt;=DATE(2016,6,23),A615&lt;=DATE(2016,7,6)),"Promo 3",IF(AND(A615&gt;=DATE(2016,6,9),A615&lt;=DATE(2016,6,22)),"Baseline 3","Other"))))))</f>
        <v>Other</v>
      </c>
    </row>
    <row r="616" customFormat="false" ht="15" hidden="false" customHeight="true" outlineLevel="0" collapsed="false">
      <c r="A616" s="12" t="n">
        <v>42252</v>
      </c>
      <c r="B616" s="13" t="n">
        <v>364416.731582138</v>
      </c>
      <c r="C616" s="13" t="n">
        <v>392128.301265169</v>
      </c>
      <c r="D616" s="14" t="n">
        <v>10643</v>
      </c>
      <c r="E616" s="15" t="n">
        <f aca="false">B616/D616</f>
        <v>34.2400386716281</v>
      </c>
      <c r="F616" s="15" t="n">
        <f aca="false">C616/D616</f>
        <v>36.8437753702123</v>
      </c>
      <c r="G616" s="13" t="n">
        <f aca="false">B616-C616</f>
        <v>-27711.569683031</v>
      </c>
      <c r="H616" s="16" t="n">
        <f aca="false">G616/B616</f>
        <v>-0.076043626105529</v>
      </c>
      <c r="I616" s="15" t="n">
        <f aca="false">G616/D616</f>
        <v>-2.60373669858414</v>
      </c>
      <c r="J616" s="16" t="n">
        <f aca="false">I616/E616</f>
        <v>-0.076043626105529</v>
      </c>
      <c r="K616" s="17" t="str">
        <f aca="false">TEXT(A616,"dddd")</f>
        <v>Saturday</v>
      </c>
      <c r="L616" s="17" t="str">
        <f aca="false">IF(AND(A616&gt;=DATE(2014,9,24),A616&lt;=DATE(2014,10,6)),"Promo 1",IF(AND(A616&gt;=DATE(2014,9,10),A616&lt;=DATE(2014,9,23)),"Baseline 1",IF(AND(A616&gt;=DATE(2015,9,23),A616&lt;=DATE(2015,10,6)),"Promo 2",IF(AND(A616&gt;=DATE(2015,9,9),A616&lt;=DATE(2015,9,22)),"Baseline 2",IF(AND(A616&gt;=DATE(2016,6,23),A616&lt;=DATE(2016,7,6)),"Promo 3",IF(AND(A616&gt;=DATE(2016,6,9),A616&lt;=DATE(2016,6,22)),"Baseline 3","Other"))))))</f>
        <v>Other</v>
      </c>
    </row>
    <row r="617" customFormat="false" ht="15" hidden="false" customHeight="true" outlineLevel="0" collapsed="false">
      <c r="A617" s="12" t="n">
        <v>42253</v>
      </c>
      <c r="B617" s="13" t="n">
        <v>164719.604491615</v>
      </c>
      <c r="C617" s="13" t="n">
        <v>176647.842651849</v>
      </c>
      <c r="D617" s="14" t="n">
        <v>4800</v>
      </c>
      <c r="E617" s="15" t="n">
        <f aca="false">B617/D617</f>
        <v>34.3165842690865</v>
      </c>
      <c r="F617" s="15" t="n">
        <f aca="false">C617/D617</f>
        <v>36.8016338858019</v>
      </c>
      <c r="G617" s="13" t="n">
        <f aca="false">B617-C617</f>
        <v>-11928.238160234</v>
      </c>
      <c r="H617" s="16" t="n">
        <f aca="false">G617/B617</f>
        <v>-0.0724154128286606</v>
      </c>
      <c r="I617" s="15" t="n">
        <f aca="false">G617/D617</f>
        <v>-2.48504961671542</v>
      </c>
      <c r="J617" s="16" t="n">
        <f aca="false">I617/E617</f>
        <v>-0.0724154128286607</v>
      </c>
      <c r="K617" s="17" t="str">
        <f aca="false">TEXT(A617,"dddd")</f>
        <v>Sunday</v>
      </c>
      <c r="L617" s="17" t="str">
        <f aca="false">IF(AND(A617&gt;=DATE(2014,9,24),A617&lt;=DATE(2014,10,6)),"Promo 1",IF(AND(A617&gt;=DATE(2014,9,10),A617&lt;=DATE(2014,9,23)),"Baseline 1",IF(AND(A617&gt;=DATE(2015,9,23),A617&lt;=DATE(2015,10,6)),"Promo 2",IF(AND(A617&gt;=DATE(2015,9,9),A617&lt;=DATE(2015,9,22)),"Baseline 2",IF(AND(A617&gt;=DATE(2016,6,23),A617&lt;=DATE(2016,7,6)),"Promo 3",IF(AND(A617&gt;=DATE(2016,6,9),A617&lt;=DATE(2016,6,22)),"Baseline 3","Other"))))))</f>
        <v>Other</v>
      </c>
    </row>
    <row r="618" customFormat="false" ht="15" hidden="false" customHeight="true" outlineLevel="0" collapsed="false">
      <c r="A618" s="12" t="n">
        <v>42254</v>
      </c>
      <c r="B618" s="13" t="n">
        <v>178921.099348736</v>
      </c>
      <c r="C618" s="13" t="n">
        <v>192507.528732489</v>
      </c>
      <c r="D618" s="14" t="n">
        <v>5228</v>
      </c>
      <c r="E618" s="15" t="n">
        <f aca="false">B618/D618</f>
        <v>34.2236226757337</v>
      </c>
      <c r="F618" s="15" t="n">
        <f aca="false">C618/D618</f>
        <v>36.8224041186857</v>
      </c>
      <c r="G618" s="13" t="n">
        <f aca="false">B618-C618</f>
        <v>-13586.429383753</v>
      </c>
      <c r="H618" s="16" t="n">
        <f aca="false">G618/B618</f>
        <v>-0.0759353113367118</v>
      </c>
      <c r="I618" s="15" t="n">
        <f aca="false">G618/D618</f>
        <v>-2.59878144295199</v>
      </c>
      <c r="J618" s="16" t="n">
        <f aca="false">I618/E618</f>
        <v>-0.0759353113367118</v>
      </c>
      <c r="K618" s="17" t="str">
        <f aca="false">TEXT(A618,"dddd")</f>
        <v>Monday</v>
      </c>
      <c r="L618" s="17" t="str">
        <f aca="false">IF(AND(A618&gt;=DATE(2014,9,24),A618&lt;=DATE(2014,10,6)),"Promo 1",IF(AND(A618&gt;=DATE(2014,9,10),A618&lt;=DATE(2014,9,23)),"Baseline 1",IF(AND(A618&gt;=DATE(2015,9,23),A618&lt;=DATE(2015,10,6)),"Promo 2",IF(AND(A618&gt;=DATE(2015,9,9),A618&lt;=DATE(2015,9,22)),"Baseline 2",IF(AND(A618&gt;=DATE(2016,6,23),A618&lt;=DATE(2016,7,6)),"Promo 3",IF(AND(A618&gt;=DATE(2016,6,9),A618&lt;=DATE(2016,6,22)),"Baseline 3","Other"))))))</f>
        <v>Other</v>
      </c>
    </row>
    <row r="619" customFormat="false" ht="15" hidden="false" customHeight="true" outlineLevel="0" collapsed="false">
      <c r="A619" s="12" t="n">
        <v>42255</v>
      </c>
      <c r="B619" s="13" t="n">
        <v>70286.9978107705</v>
      </c>
      <c r="C619" s="13" t="n">
        <v>66639.6980528115</v>
      </c>
      <c r="D619" s="14" t="n">
        <v>1810</v>
      </c>
      <c r="E619" s="15" t="n">
        <f aca="false">B619/D619</f>
        <v>38.8325954755638</v>
      </c>
      <c r="F619" s="15" t="n">
        <f aca="false">C619/D619</f>
        <v>36.8175127363599</v>
      </c>
      <c r="G619" s="13" t="n">
        <f aca="false">B619-C619</f>
        <v>3647.299757959</v>
      </c>
      <c r="H619" s="16" t="n">
        <f aca="false">G619/B619</f>
        <v>0.0518915286121398</v>
      </c>
      <c r="I619" s="15" t="n">
        <f aca="false">G619/D619</f>
        <v>2.01508273920387</v>
      </c>
      <c r="J619" s="16" t="n">
        <f aca="false">I619/E619</f>
        <v>0.0518915286121398</v>
      </c>
      <c r="K619" s="17" t="str">
        <f aca="false">TEXT(A619,"dddd")</f>
        <v>Tuesday</v>
      </c>
      <c r="L619" s="17" t="str">
        <f aca="false">IF(AND(A619&gt;=DATE(2014,9,24),A619&lt;=DATE(2014,10,6)),"Promo 1",IF(AND(A619&gt;=DATE(2014,9,10),A619&lt;=DATE(2014,9,23)),"Baseline 1",IF(AND(A619&gt;=DATE(2015,9,23),A619&lt;=DATE(2015,10,6)),"Promo 2",IF(AND(A619&gt;=DATE(2015,9,9),A619&lt;=DATE(2015,9,22)),"Baseline 2",IF(AND(A619&gt;=DATE(2016,6,23),A619&lt;=DATE(2016,7,6)),"Promo 3",IF(AND(A619&gt;=DATE(2016,6,9),A619&lt;=DATE(2016,6,22)),"Baseline 3","Other"))))))</f>
        <v>Other</v>
      </c>
    </row>
    <row r="620" customFormat="false" ht="15" hidden="false" customHeight="true" outlineLevel="0" collapsed="false">
      <c r="A620" s="12" t="n">
        <v>42256</v>
      </c>
      <c r="B620" s="13" t="n">
        <v>76013.6779017105</v>
      </c>
      <c r="C620" s="13" t="n">
        <v>72211.1031746507</v>
      </c>
      <c r="D620" s="14" t="n">
        <v>1961</v>
      </c>
      <c r="E620" s="15" t="n">
        <f aca="false">B620/D620</f>
        <v>38.7627118315709</v>
      </c>
      <c r="F620" s="15" t="n">
        <f aca="false">C620/D620</f>
        <v>36.8236120217495</v>
      </c>
      <c r="G620" s="13" t="n">
        <f aca="false">B620-C620</f>
        <v>3802.57472705979</v>
      </c>
      <c r="H620" s="16" t="n">
        <f aca="false">G620/B620</f>
        <v>0.0500248748912888</v>
      </c>
      <c r="I620" s="15" t="n">
        <f aca="false">G620/D620</f>
        <v>1.93909980982141</v>
      </c>
      <c r="J620" s="16" t="n">
        <f aca="false">I620/E620</f>
        <v>0.0500248748912888</v>
      </c>
      <c r="K620" s="17" t="str">
        <f aca="false">TEXT(A620,"dddd")</f>
        <v>Wednesday</v>
      </c>
      <c r="L620" s="17" t="str">
        <f aca="false">IF(AND(A620&gt;=DATE(2014,9,24),A620&lt;=DATE(2014,10,6)),"Promo 1",IF(AND(A620&gt;=DATE(2014,9,10),A620&lt;=DATE(2014,9,23)),"Baseline 1",IF(AND(A620&gt;=DATE(2015,9,23),A620&lt;=DATE(2015,10,6)),"Promo 2",IF(AND(A620&gt;=DATE(2015,9,9),A620&lt;=DATE(2015,9,22)),"Baseline 2",IF(AND(A620&gt;=DATE(2016,6,23),A620&lt;=DATE(2016,7,6)),"Promo 3",IF(AND(A620&gt;=DATE(2016,6,9),A620&lt;=DATE(2016,6,22)),"Baseline 3","Other"))))))</f>
        <v>Baseline 2</v>
      </c>
    </row>
    <row r="621" customFormat="false" ht="15" hidden="false" customHeight="true" outlineLevel="0" collapsed="false">
      <c r="A621" s="12" t="n">
        <v>42257</v>
      </c>
      <c r="B621" s="13" t="n">
        <v>48406.7871467402</v>
      </c>
      <c r="C621" s="13" t="n">
        <v>45316.5427336108</v>
      </c>
      <c r="D621" s="14" t="n">
        <v>1232</v>
      </c>
      <c r="E621" s="15" t="n">
        <f aca="false">B621/D621</f>
        <v>39.291223333393</v>
      </c>
      <c r="F621" s="15" t="n">
        <f aca="false">C621/D621</f>
        <v>36.7829080629958</v>
      </c>
      <c r="G621" s="13" t="n">
        <f aca="false">B621-C621</f>
        <v>3090.2444131294</v>
      </c>
      <c r="H621" s="16" t="n">
        <f aca="false">G621/B621</f>
        <v>0.0638390728920233</v>
      </c>
      <c r="I621" s="15" t="n">
        <f aca="false">G621/D621</f>
        <v>2.50831527039724</v>
      </c>
      <c r="J621" s="16" t="n">
        <f aca="false">I621/E621</f>
        <v>0.0638390728920233</v>
      </c>
      <c r="K621" s="17" t="str">
        <f aca="false">TEXT(A621,"dddd")</f>
        <v>Thursday</v>
      </c>
      <c r="L621" s="17" t="str">
        <f aca="false">IF(AND(A621&gt;=DATE(2014,9,24),A621&lt;=DATE(2014,10,6)),"Promo 1",IF(AND(A621&gt;=DATE(2014,9,10),A621&lt;=DATE(2014,9,23)),"Baseline 1",IF(AND(A621&gt;=DATE(2015,9,23),A621&lt;=DATE(2015,10,6)),"Promo 2",IF(AND(A621&gt;=DATE(2015,9,9),A621&lt;=DATE(2015,9,22)),"Baseline 2",IF(AND(A621&gt;=DATE(2016,6,23),A621&lt;=DATE(2016,7,6)),"Promo 3",IF(AND(A621&gt;=DATE(2016,6,9),A621&lt;=DATE(2016,6,22)),"Baseline 3","Other"))))))</f>
        <v>Baseline 2</v>
      </c>
    </row>
    <row r="622" customFormat="false" ht="15" hidden="false" customHeight="true" outlineLevel="0" collapsed="false">
      <c r="A622" s="12" t="n">
        <v>42258</v>
      </c>
      <c r="B622" s="13" t="n">
        <v>85940.02694079</v>
      </c>
      <c r="C622" s="13" t="n">
        <v>81559.845623272</v>
      </c>
      <c r="D622" s="14" t="n">
        <v>2194</v>
      </c>
      <c r="E622" s="15" t="n">
        <f aca="false">B622/D622</f>
        <v>39.1704771835871</v>
      </c>
      <c r="F622" s="15" t="n">
        <f aca="false">C622/D622</f>
        <v>37.174040849258</v>
      </c>
      <c r="G622" s="13" t="n">
        <f aca="false">B622-C622</f>
        <v>4380.181317518</v>
      </c>
      <c r="H622" s="16" t="n">
        <f aca="false">G622/B622</f>
        <v>0.0509678839237019</v>
      </c>
      <c r="I622" s="15" t="n">
        <f aca="false">G622/D622</f>
        <v>1.99643633432908</v>
      </c>
      <c r="J622" s="16" t="n">
        <f aca="false">I622/E622</f>
        <v>0.0509678839237019</v>
      </c>
      <c r="K622" s="17" t="str">
        <f aca="false">TEXT(A622,"dddd")</f>
        <v>Friday</v>
      </c>
      <c r="L622" s="17" t="str">
        <f aca="false">IF(AND(A622&gt;=DATE(2014,9,24),A622&lt;=DATE(2014,10,6)),"Promo 1",IF(AND(A622&gt;=DATE(2014,9,10),A622&lt;=DATE(2014,9,23)),"Baseline 1",IF(AND(A622&gt;=DATE(2015,9,23),A622&lt;=DATE(2015,10,6)),"Promo 2",IF(AND(A622&gt;=DATE(2015,9,9),A622&lt;=DATE(2015,9,22)),"Baseline 2",IF(AND(A622&gt;=DATE(2016,6,23),A622&lt;=DATE(2016,7,6)),"Promo 3",IF(AND(A622&gt;=DATE(2016,6,9),A622&lt;=DATE(2016,6,22)),"Baseline 3","Other"))))))</f>
        <v>Baseline 2</v>
      </c>
    </row>
    <row r="623" customFormat="false" ht="15" hidden="false" customHeight="true" outlineLevel="0" collapsed="false">
      <c r="A623" s="12" t="n">
        <v>42259</v>
      </c>
      <c r="B623" s="13" t="n">
        <v>57381.7514541854</v>
      </c>
      <c r="C623" s="13" t="n">
        <v>54340.8915093229</v>
      </c>
      <c r="D623" s="14" t="n">
        <v>1469</v>
      </c>
      <c r="E623" s="15" t="n">
        <f aca="false">B623/D623</f>
        <v>39.0617777087716</v>
      </c>
      <c r="F623" s="15" t="n">
        <f aca="false">C623/D623</f>
        <v>36.9917573242498</v>
      </c>
      <c r="G623" s="13" t="n">
        <f aca="false">B623-C623</f>
        <v>3040.8599448625</v>
      </c>
      <c r="H623" s="16" t="n">
        <f aca="false">G623/B623</f>
        <v>0.0529935017283392</v>
      </c>
      <c r="I623" s="15" t="n">
        <f aca="false">G623/D623</f>
        <v>2.07002038452179</v>
      </c>
      <c r="J623" s="16" t="n">
        <f aca="false">I623/E623</f>
        <v>0.0529935017283392</v>
      </c>
      <c r="K623" s="17" t="str">
        <f aca="false">TEXT(A623,"dddd")</f>
        <v>Saturday</v>
      </c>
      <c r="L623" s="17" t="str">
        <f aca="false">IF(AND(A623&gt;=DATE(2014,9,24),A623&lt;=DATE(2014,10,6)),"Promo 1",IF(AND(A623&gt;=DATE(2014,9,10),A623&lt;=DATE(2014,9,23)),"Baseline 1",IF(AND(A623&gt;=DATE(2015,9,23),A623&lt;=DATE(2015,10,6)),"Promo 2",IF(AND(A623&gt;=DATE(2015,9,9),A623&lt;=DATE(2015,9,22)),"Baseline 2",IF(AND(A623&gt;=DATE(2016,6,23),A623&lt;=DATE(2016,7,6)),"Promo 3",IF(AND(A623&gt;=DATE(2016,6,9),A623&lt;=DATE(2016,6,22)),"Baseline 3","Other"))))))</f>
        <v>Baseline 2</v>
      </c>
    </row>
    <row r="624" customFormat="false" ht="15" hidden="false" customHeight="true" outlineLevel="0" collapsed="false">
      <c r="A624" s="12" t="n">
        <v>42260</v>
      </c>
      <c r="B624" s="13" t="n">
        <v>32479.7963942551</v>
      </c>
      <c r="C624" s="13" t="n">
        <v>30763.6881173133</v>
      </c>
      <c r="D624" s="14" t="n">
        <v>829</v>
      </c>
      <c r="E624" s="15" t="n">
        <f aca="false">B624/D624</f>
        <v>39.1794890159893</v>
      </c>
      <c r="F624" s="15" t="n">
        <f aca="false">C624/D624</f>
        <v>37.1093945926578</v>
      </c>
      <c r="G624" s="13" t="n">
        <f aca="false">B624-C624</f>
        <v>1716.1082769418</v>
      </c>
      <c r="H624" s="16" t="n">
        <f aca="false">G624/B624</f>
        <v>0.0528361771764474</v>
      </c>
      <c r="I624" s="15" t="n">
        <f aca="false">G624/D624</f>
        <v>2.07009442333148</v>
      </c>
      <c r="J624" s="16" t="n">
        <f aca="false">I624/E624</f>
        <v>0.0528361771764474</v>
      </c>
      <c r="K624" s="17" t="str">
        <f aca="false">TEXT(A624,"dddd")</f>
        <v>Sunday</v>
      </c>
      <c r="L624" s="17" t="str">
        <f aca="false">IF(AND(A624&gt;=DATE(2014,9,24),A624&lt;=DATE(2014,10,6)),"Promo 1",IF(AND(A624&gt;=DATE(2014,9,10),A624&lt;=DATE(2014,9,23)),"Baseline 1",IF(AND(A624&gt;=DATE(2015,9,23),A624&lt;=DATE(2015,10,6)),"Promo 2",IF(AND(A624&gt;=DATE(2015,9,9),A624&lt;=DATE(2015,9,22)),"Baseline 2",IF(AND(A624&gt;=DATE(2016,6,23),A624&lt;=DATE(2016,7,6)),"Promo 3",IF(AND(A624&gt;=DATE(2016,6,9),A624&lt;=DATE(2016,6,22)),"Baseline 3","Other"))))))</f>
        <v>Baseline 2</v>
      </c>
    </row>
    <row r="625" customFormat="false" ht="15" hidden="false" customHeight="true" outlineLevel="0" collapsed="false">
      <c r="A625" s="12" t="n">
        <v>42261</v>
      </c>
      <c r="B625" s="13" t="n">
        <v>52160.1839334154</v>
      </c>
      <c r="C625" s="13" t="n">
        <v>49656.0077485688</v>
      </c>
      <c r="D625" s="14" t="n">
        <v>1329</v>
      </c>
      <c r="E625" s="15" t="n">
        <f aca="false">B625/D625</f>
        <v>39.2476929521561</v>
      </c>
      <c r="F625" s="15" t="n">
        <f aca="false">C625/D625</f>
        <v>37.3634369816169</v>
      </c>
      <c r="G625" s="13" t="n">
        <f aca="false">B625-C625</f>
        <v>2504.1761848466</v>
      </c>
      <c r="H625" s="16" t="n">
        <f aca="false">G625/B625</f>
        <v>0.0480093434494648</v>
      </c>
      <c r="I625" s="15" t="n">
        <f aca="false">G625/D625</f>
        <v>1.8842559705392</v>
      </c>
      <c r="J625" s="16" t="n">
        <f aca="false">I625/E625</f>
        <v>0.0480093434494648</v>
      </c>
      <c r="K625" s="17" t="str">
        <f aca="false">TEXT(A625,"dddd")</f>
        <v>Monday</v>
      </c>
      <c r="L625" s="17" t="str">
        <f aca="false">IF(AND(A625&gt;=DATE(2014,9,24),A625&lt;=DATE(2014,10,6)),"Promo 1",IF(AND(A625&gt;=DATE(2014,9,10),A625&lt;=DATE(2014,9,23)),"Baseline 1",IF(AND(A625&gt;=DATE(2015,9,23),A625&lt;=DATE(2015,10,6)),"Promo 2",IF(AND(A625&gt;=DATE(2015,9,9),A625&lt;=DATE(2015,9,22)),"Baseline 2",IF(AND(A625&gt;=DATE(2016,6,23),A625&lt;=DATE(2016,7,6)),"Promo 3",IF(AND(A625&gt;=DATE(2016,6,9),A625&lt;=DATE(2016,6,22)),"Baseline 3","Other"))))))</f>
        <v>Baseline 2</v>
      </c>
    </row>
    <row r="626" customFormat="false" ht="15" hidden="false" customHeight="true" outlineLevel="0" collapsed="false">
      <c r="A626" s="12" t="n">
        <v>42262</v>
      </c>
      <c r="B626" s="13" t="n">
        <v>51002.8395694952</v>
      </c>
      <c r="C626" s="13" t="n">
        <v>48601.9675047073</v>
      </c>
      <c r="D626" s="14" t="n">
        <v>1300</v>
      </c>
      <c r="E626" s="15" t="n">
        <f aca="false">B626/D626</f>
        <v>39.2329535149963</v>
      </c>
      <c r="F626" s="15" t="n">
        <f aca="false">C626/D626</f>
        <v>37.3861288497749</v>
      </c>
      <c r="G626" s="13" t="n">
        <f aca="false">B626-C626</f>
        <v>2400.87206478789</v>
      </c>
      <c r="H626" s="16" t="n">
        <f aca="false">G626/B626</f>
        <v>0.0470733018995252</v>
      </c>
      <c r="I626" s="15" t="n">
        <f aca="false">G626/D626</f>
        <v>1.84682466522146</v>
      </c>
      <c r="J626" s="16" t="n">
        <f aca="false">I626/E626</f>
        <v>0.0470733018995252</v>
      </c>
      <c r="K626" s="17" t="str">
        <f aca="false">TEXT(A626,"dddd")</f>
        <v>Tuesday</v>
      </c>
      <c r="L626" s="17" t="str">
        <f aca="false">IF(AND(A626&gt;=DATE(2014,9,24),A626&lt;=DATE(2014,10,6)),"Promo 1",IF(AND(A626&gt;=DATE(2014,9,10),A626&lt;=DATE(2014,9,23)),"Baseline 1",IF(AND(A626&gt;=DATE(2015,9,23),A626&lt;=DATE(2015,10,6)),"Promo 2",IF(AND(A626&gt;=DATE(2015,9,9),A626&lt;=DATE(2015,9,22)),"Baseline 2",IF(AND(A626&gt;=DATE(2016,6,23),A626&lt;=DATE(2016,7,6)),"Promo 3",IF(AND(A626&gt;=DATE(2016,6,9),A626&lt;=DATE(2016,6,22)),"Baseline 3","Other"))))))</f>
        <v>Baseline 2</v>
      </c>
    </row>
    <row r="627" customFormat="false" ht="15" hidden="false" customHeight="true" outlineLevel="0" collapsed="false">
      <c r="A627" s="12" t="n">
        <v>42263</v>
      </c>
      <c r="B627" s="13" t="n">
        <v>30194.7159562151</v>
      </c>
      <c r="C627" s="13" t="n">
        <v>28605.4607976138</v>
      </c>
      <c r="D627" s="14" t="n">
        <v>773</v>
      </c>
      <c r="E627" s="15" t="n">
        <f aca="false">B627/D627</f>
        <v>39.0617282745344</v>
      </c>
      <c r="F627" s="15" t="n">
        <f aca="false">C627/D627</f>
        <v>37.0057707601731</v>
      </c>
      <c r="G627" s="13" t="n">
        <f aca="false">B627-C627</f>
        <v>1589.2551586013</v>
      </c>
      <c r="H627" s="16" t="n">
        <f aca="false">G627/B627</f>
        <v>0.0526335522051558</v>
      </c>
      <c r="I627" s="15" t="n">
        <f aca="false">G627/D627</f>
        <v>2.05595751436132</v>
      </c>
      <c r="J627" s="16" t="n">
        <f aca="false">I627/E627</f>
        <v>0.0526335522051559</v>
      </c>
      <c r="K627" s="17" t="str">
        <f aca="false">TEXT(A627,"dddd")</f>
        <v>Wednesday</v>
      </c>
      <c r="L627" s="17" t="str">
        <f aca="false">IF(AND(A627&gt;=DATE(2014,9,24),A627&lt;=DATE(2014,10,6)),"Promo 1",IF(AND(A627&gt;=DATE(2014,9,10),A627&lt;=DATE(2014,9,23)),"Baseline 1",IF(AND(A627&gt;=DATE(2015,9,23),A627&lt;=DATE(2015,10,6)),"Promo 2",IF(AND(A627&gt;=DATE(2015,9,9),A627&lt;=DATE(2015,9,22)),"Baseline 2",IF(AND(A627&gt;=DATE(2016,6,23),A627&lt;=DATE(2016,7,6)),"Promo 3",IF(AND(A627&gt;=DATE(2016,6,9),A627&lt;=DATE(2016,6,22)),"Baseline 3","Other"))))))</f>
        <v>Baseline 2</v>
      </c>
    </row>
    <row r="628" customFormat="false" ht="15" hidden="false" customHeight="true" outlineLevel="0" collapsed="false">
      <c r="A628" s="12" t="n">
        <v>42264</v>
      </c>
      <c r="B628" s="13" t="n">
        <v>29751.2226055551</v>
      </c>
      <c r="C628" s="13" t="n">
        <v>28084.2351283641</v>
      </c>
      <c r="D628" s="14" t="n">
        <v>760</v>
      </c>
      <c r="E628" s="15" t="n">
        <f aca="false">B628/D628</f>
        <v>39.1463455336251</v>
      </c>
      <c r="F628" s="15" t="n">
        <f aca="false">C628/D628</f>
        <v>36.9529409583738</v>
      </c>
      <c r="G628" s="13" t="n">
        <f aca="false">B628-C628</f>
        <v>1666.987477191</v>
      </c>
      <c r="H628" s="16" t="n">
        <f aca="false">G628/B628</f>
        <v>0.0560308898660098</v>
      </c>
      <c r="I628" s="15" t="n">
        <f aca="false">G628/D628</f>
        <v>2.19340457525132</v>
      </c>
      <c r="J628" s="16" t="n">
        <f aca="false">I628/E628</f>
        <v>0.0560308898660098</v>
      </c>
      <c r="K628" s="17" t="str">
        <f aca="false">TEXT(A628,"dddd")</f>
        <v>Thursday</v>
      </c>
      <c r="L628" s="17" t="str">
        <f aca="false">IF(AND(A628&gt;=DATE(2014,9,24),A628&lt;=DATE(2014,10,6)),"Promo 1",IF(AND(A628&gt;=DATE(2014,9,10),A628&lt;=DATE(2014,9,23)),"Baseline 1",IF(AND(A628&gt;=DATE(2015,9,23),A628&lt;=DATE(2015,10,6)),"Promo 2",IF(AND(A628&gt;=DATE(2015,9,9),A628&lt;=DATE(2015,9,22)),"Baseline 2",IF(AND(A628&gt;=DATE(2016,6,23),A628&lt;=DATE(2016,7,6)),"Promo 3",IF(AND(A628&gt;=DATE(2016,6,9),A628&lt;=DATE(2016,6,22)),"Baseline 3","Other"))))))</f>
        <v>Baseline 2</v>
      </c>
    </row>
    <row r="629" customFormat="false" ht="15" hidden="false" customHeight="true" outlineLevel="0" collapsed="false">
      <c r="A629" s="12" t="n">
        <v>42265</v>
      </c>
      <c r="B629" s="13" t="n">
        <v>68504.6394375354</v>
      </c>
      <c r="C629" s="13" t="n">
        <v>64881.9756482569</v>
      </c>
      <c r="D629" s="14" t="n">
        <v>1755</v>
      </c>
      <c r="E629" s="15" t="n">
        <f aca="false">B629/D629</f>
        <v>39.0339825854903</v>
      </c>
      <c r="F629" s="15" t="n">
        <f aca="false">C629/D629</f>
        <v>36.9697866941635</v>
      </c>
      <c r="G629" s="13" t="n">
        <f aca="false">B629-C629</f>
        <v>3622.6637892785</v>
      </c>
      <c r="H629" s="16" t="n">
        <f aca="false">G629/B629</f>
        <v>0.0528820211159823</v>
      </c>
      <c r="I629" s="15" t="n">
        <f aca="false">G629/D629</f>
        <v>2.06419589132678</v>
      </c>
      <c r="J629" s="16" t="n">
        <f aca="false">I629/E629</f>
        <v>0.0528820211159823</v>
      </c>
      <c r="K629" s="17" t="str">
        <f aca="false">TEXT(A629,"dddd")</f>
        <v>Friday</v>
      </c>
      <c r="L629" s="17" t="str">
        <f aca="false">IF(AND(A629&gt;=DATE(2014,9,24),A629&lt;=DATE(2014,10,6)),"Promo 1",IF(AND(A629&gt;=DATE(2014,9,10),A629&lt;=DATE(2014,9,23)),"Baseline 1",IF(AND(A629&gt;=DATE(2015,9,23),A629&lt;=DATE(2015,10,6)),"Promo 2",IF(AND(A629&gt;=DATE(2015,9,9),A629&lt;=DATE(2015,9,22)),"Baseline 2",IF(AND(A629&gt;=DATE(2016,6,23),A629&lt;=DATE(2016,7,6)),"Promo 3",IF(AND(A629&gt;=DATE(2016,6,9),A629&lt;=DATE(2016,6,22)),"Baseline 3","Other"))))))</f>
        <v>Baseline 2</v>
      </c>
    </row>
    <row r="630" customFormat="false" ht="15" hidden="false" customHeight="true" outlineLevel="0" collapsed="false">
      <c r="A630" s="12" t="n">
        <v>42266</v>
      </c>
      <c r="B630" s="13" t="n">
        <v>68996.5617572905</v>
      </c>
      <c r="C630" s="13" t="n">
        <v>65211.5717709412</v>
      </c>
      <c r="D630" s="14" t="n">
        <v>1766</v>
      </c>
      <c r="E630" s="15" t="n">
        <f aca="false">B630/D630</f>
        <v>39.0694007685677</v>
      </c>
      <c r="F630" s="15" t="n">
        <f aca="false">C630/D630</f>
        <v>36.9261448306575</v>
      </c>
      <c r="G630" s="13" t="n">
        <f aca="false">B630-C630</f>
        <v>3784.9899863493</v>
      </c>
      <c r="H630" s="16" t="n">
        <f aca="false">G630/B630</f>
        <v>0.0548576608739401</v>
      </c>
      <c r="I630" s="15" t="n">
        <f aca="false">G630/D630</f>
        <v>2.14325593791014</v>
      </c>
      <c r="J630" s="16" t="n">
        <f aca="false">I630/E630</f>
        <v>0.0548576608739401</v>
      </c>
      <c r="K630" s="17" t="str">
        <f aca="false">TEXT(A630,"dddd")</f>
        <v>Saturday</v>
      </c>
      <c r="L630" s="17" t="str">
        <f aca="false">IF(AND(A630&gt;=DATE(2014,9,24),A630&lt;=DATE(2014,10,6)),"Promo 1",IF(AND(A630&gt;=DATE(2014,9,10),A630&lt;=DATE(2014,9,23)),"Baseline 1",IF(AND(A630&gt;=DATE(2015,9,23),A630&lt;=DATE(2015,10,6)),"Promo 2",IF(AND(A630&gt;=DATE(2015,9,9),A630&lt;=DATE(2015,9,22)),"Baseline 2",IF(AND(A630&gt;=DATE(2016,6,23),A630&lt;=DATE(2016,7,6)),"Promo 3",IF(AND(A630&gt;=DATE(2016,6,9),A630&lt;=DATE(2016,6,22)),"Baseline 3","Other"))))))</f>
        <v>Baseline 2</v>
      </c>
    </row>
    <row r="631" customFormat="false" ht="15" hidden="false" customHeight="true" outlineLevel="0" collapsed="false">
      <c r="A631" s="12" t="n">
        <v>42267</v>
      </c>
      <c r="B631" s="13" t="n">
        <v>41855.9287594003</v>
      </c>
      <c r="C631" s="13" t="n">
        <v>39629.4518722776</v>
      </c>
      <c r="D631" s="14" t="n">
        <v>1078</v>
      </c>
      <c r="E631" s="15" t="n">
        <f aca="false">B631/D631</f>
        <v>38.8273921701302</v>
      </c>
      <c r="F631" s="15" t="n">
        <f aca="false">C631/D631</f>
        <v>36.7620147238197</v>
      </c>
      <c r="G631" s="13" t="n">
        <f aca="false">B631-C631</f>
        <v>2226.47688712271</v>
      </c>
      <c r="H631" s="16" t="n">
        <f aca="false">G631/B631</f>
        <v>0.0531938235063693</v>
      </c>
      <c r="I631" s="15" t="n">
        <f aca="false">G631/D631</f>
        <v>2.06537744631049</v>
      </c>
      <c r="J631" s="16" t="n">
        <f aca="false">I631/E631</f>
        <v>0.0531938235063693</v>
      </c>
      <c r="K631" s="17" t="str">
        <f aca="false">TEXT(A631,"dddd")</f>
        <v>Sunday</v>
      </c>
      <c r="L631" s="17" t="str">
        <f aca="false">IF(AND(A631&gt;=DATE(2014,9,24),A631&lt;=DATE(2014,10,6)),"Promo 1",IF(AND(A631&gt;=DATE(2014,9,10),A631&lt;=DATE(2014,9,23)),"Baseline 1",IF(AND(A631&gt;=DATE(2015,9,23),A631&lt;=DATE(2015,10,6)),"Promo 2",IF(AND(A631&gt;=DATE(2015,9,9),A631&lt;=DATE(2015,9,22)),"Baseline 2",IF(AND(A631&gt;=DATE(2016,6,23),A631&lt;=DATE(2016,7,6)),"Promo 3",IF(AND(A631&gt;=DATE(2016,6,9),A631&lt;=DATE(2016,6,22)),"Baseline 3","Other"))))))</f>
        <v>Baseline 2</v>
      </c>
    </row>
    <row r="632" customFormat="false" ht="15" hidden="false" customHeight="true" outlineLevel="0" collapsed="false">
      <c r="A632" s="12" t="n">
        <v>42268</v>
      </c>
      <c r="B632" s="13" t="n">
        <v>44303.4664859002</v>
      </c>
      <c r="C632" s="13" t="n">
        <v>41485.4587188014</v>
      </c>
      <c r="D632" s="14" t="n">
        <v>1124</v>
      </c>
      <c r="E632" s="15" t="n">
        <f aca="false">B632/D632</f>
        <v>39.4158954500891</v>
      </c>
      <c r="F632" s="15" t="n">
        <f aca="false">C632/D632</f>
        <v>36.9087711021365</v>
      </c>
      <c r="G632" s="13" t="n">
        <f aca="false">B632-C632</f>
        <v>2818.0077670988</v>
      </c>
      <c r="H632" s="16" t="n">
        <f aca="false">G632/B632</f>
        <v>0.0636069362201183</v>
      </c>
      <c r="I632" s="15" t="n">
        <f aca="false">G632/D632</f>
        <v>2.50712434795267</v>
      </c>
      <c r="J632" s="16" t="n">
        <f aca="false">I632/E632</f>
        <v>0.0636069362201183</v>
      </c>
      <c r="K632" s="17" t="str">
        <f aca="false">TEXT(A632,"dddd")</f>
        <v>Monday</v>
      </c>
      <c r="L632" s="17" t="str">
        <f aca="false">IF(AND(A632&gt;=DATE(2014,9,24),A632&lt;=DATE(2014,10,6)),"Promo 1",IF(AND(A632&gt;=DATE(2014,9,10),A632&lt;=DATE(2014,9,23)),"Baseline 1",IF(AND(A632&gt;=DATE(2015,9,23),A632&lt;=DATE(2015,10,6)),"Promo 2",IF(AND(A632&gt;=DATE(2015,9,9),A632&lt;=DATE(2015,9,22)),"Baseline 2",IF(AND(A632&gt;=DATE(2016,6,23),A632&lt;=DATE(2016,7,6)),"Promo 3",IF(AND(A632&gt;=DATE(2016,6,9),A632&lt;=DATE(2016,6,22)),"Baseline 3","Other"))))))</f>
        <v>Baseline 2</v>
      </c>
    </row>
    <row r="633" customFormat="false" ht="15" hidden="false" customHeight="true" outlineLevel="0" collapsed="false">
      <c r="A633" s="12" t="n">
        <v>42269</v>
      </c>
      <c r="B633" s="13" t="n">
        <v>46599.2981308103</v>
      </c>
      <c r="C633" s="13" t="n">
        <v>43806.7320104359</v>
      </c>
      <c r="D633" s="14" t="n">
        <v>1182</v>
      </c>
      <c r="E633" s="15" t="n">
        <f aca="false">B633/D633</f>
        <v>39.4241100937481</v>
      </c>
      <c r="F633" s="15" t="n">
        <f aca="false">C633/D633</f>
        <v>37.0615330037529</v>
      </c>
      <c r="G633" s="13" t="n">
        <f aca="false">B633-C633</f>
        <v>2792.5661203744</v>
      </c>
      <c r="H633" s="16" t="n">
        <f aca="false">G633/B633</f>
        <v>0.0599272141939842</v>
      </c>
      <c r="I633" s="15" t="n">
        <f aca="false">G633/D633</f>
        <v>2.36257708999526</v>
      </c>
      <c r="J633" s="16" t="n">
        <f aca="false">I633/E633</f>
        <v>0.0599272141939842</v>
      </c>
      <c r="K633" s="17" t="str">
        <f aca="false">TEXT(A633,"dddd")</f>
        <v>Tuesday</v>
      </c>
      <c r="L633" s="17" t="str">
        <f aca="false">IF(AND(A633&gt;=DATE(2014,9,24),A633&lt;=DATE(2014,10,6)),"Promo 1",IF(AND(A633&gt;=DATE(2014,9,10),A633&lt;=DATE(2014,9,23)),"Baseline 1",IF(AND(A633&gt;=DATE(2015,9,23),A633&lt;=DATE(2015,10,6)),"Promo 2",IF(AND(A633&gt;=DATE(2015,9,9),A633&lt;=DATE(2015,9,22)),"Baseline 2",IF(AND(A633&gt;=DATE(2016,6,23),A633&lt;=DATE(2016,7,6)),"Promo 3",IF(AND(A633&gt;=DATE(2016,6,9),A633&lt;=DATE(2016,6,22)),"Baseline 3","Other"))))))</f>
        <v>Baseline 2</v>
      </c>
    </row>
    <row r="634" customFormat="false" ht="15" hidden="false" customHeight="true" outlineLevel="0" collapsed="false">
      <c r="A634" s="12" t="n">
        <v>42270</v>
      </c>
      <c r="B634" s="13" t="n">
        <v>125182.757165348</v>
      </c>
      <c r="C634" s="13" t="n">
        <v>138583.837816216</v>
      </c>
      <c r="D634" s="14" t="n">
        <v>3725</v>
      </c>
      <c r="E634" s="15" t="n">
        <f aca="false">B634/D634</f>
        <v>33.6061093061337</v>
      </c>
      <c r="F634" s="15" t="n">
        <f aca="false">C634/D634</f>
        <v>37.2037148499909</v>
      </c>
      <c r="G634" s="13" t="n">
        <f aca="false">B634-C634</f>
        <v>-13401.080650868</v>
      </c>
      <c r="H634" s="16" t="n">
        <f aca="false">G634/B634</f>
        <v>-0.107052128858027</v>
      </c>
      <c r="I634" s="15" t="n">
        <f aca="false">G634/D634</f>
        <v>-3.59760554385718</v>
      </c>
      <c r="J634" s="16" t="n">
        <f aca="false">I634/E634</f>
        <v>-0.107052128858027</v>
      </c>
      <c r="K634" s="17" t="str">
        <f aca="false">TEXT(A634,"dddd")</f>
        <v>Wednesday</v>
      </c>
      <c r="L634" s="17" t="str">
        <f aca="false">IF(AND(A634&gt;=DATE(2014,9,24),A634&lt;=DATE(2014,10,6)),"Promo 1",IF(AND(A634&gt;=DATE(2014,9,10),A634&lt;=DATE(2014,9,23)),"Baseline 1",IF(AND(A634&gt;=DATE(2015,9,23),A634&lt;=DATE(2015,10,6)),"Promo 2",IF(AND(A634&gt;=DATE(2015,9,9),A634&lt;=DATE(2015,9,22)),"Baseline 2",IF(AND(A634&gt;=DATE(2016,6,23),A634&lt;=DATE(2016,7,6)),"Promo 3",IF(AND(A634&gt;=DATE(2016,6,9),A634&lt;=DATE(2016,6,22)),"Baseline 3","Other"))))))</f>
        <v>Promo 2</v>
      </c>
    </row>
    <row r="635" customFormat="false" ht="15" hidden="false" customHeight="true" outlineLevel="0" collapsed="false">
      <c r="A635" s="12" t="n">
        <v>42271</v>
      </c>
      <c r="B635" s="13" t="n">
        <v>150036.805041618</v>
      </c>
      <c r="C635" s="13" t="n">
        <v>167704.855406774</v>
      </c>
      <c r="D635" s="14" t="n">
        <v>4492</v>
      </c>
      <c r="E635" s="15" t="n">
        <f aca="false">B635/D635</f>
        <v>33.400891594305</v>
      </c>
      <c r="F635" s="15" t="n">
        <f aca="false">C635/D635</f>
        <v>37.3341174102346</v>
      </c>
      <c r="G635" s="13" t="n">
        <f aca="false">B635-C635</f>
        <v>-17668.050365156</v>
      </c>
      <c r="H635" s="16" t="n">
        <f aca="false">G635/B635</f>
        <v>-0.117758108487148</v>
      </c>
      <c r="I635" s="15" t="n">
        <f aca="false">G635/D635</f>
        <v>-3.93322581592965</v>
      </c>
      <c r="J635" s="16" t="n">
        <f aca="false">I635/E635</f>
        <v>-0.117758108487148</v>
      </c>
      <c r="K635" s="17" t="str">
        <f aca="false">TEXT(A635,"dddd")</f>
        <v>Thursday</v>
      </c>
      <c r="L635" s="17" t="str">
        <f aca="false">IF(AND(A635&gt;=DATE(2014,9,24),A635&lt;=DATE(2014,10,6)),"Promo 1",IF(AND(A635&gt;=DATE(2014,9,10),A635&lt;=DATE(2014,9,23)),"Baseline 1",IF(AND(A635&gt;=DATE(2015,9,23),A635&lt;=DATE(2015,10,6)),"Promo 2",IF(AND(A635&gt;=DATE(2015,9,9),A635&lt;=DATE(2015,9,22)),"Baseline 2",IF(AND(A635&gt;=DATE(2016,6,23),A635&lt;=DATE(2016,7,6)),"Promo 3",IF(AND(A635&gt;=DATE(2016,6,9),A635&lt;=DATE(2016,6,22)),"Baseline 3","Other"))))))</f>
        <v>Promo 2</v>
      </c>
    </row>
    <row r="636" customFormat="false" ht="15" hidden="false" customHeight="true" outlineLevel="0" collapsed="false">
      <c r="A636" s="12" t="n">
        <v>42272</v>
      </c>
      <c r="B636" s="13" t="n">
        <v>368037.691944659</v>
      </c>
      <c r="C636" s="13" t="n">
        <v>413540.807164328</v>
      </c>
      <c r="D636" s="14" t="n">
        <v>11030</v>
      </c>
      <c r="E636" s="15" t="n">
        <f aca="false">B636/D636</f>
        <v>33.3669711645203</v>
      </c>
      <c r="F636" s="15" t="n">
        <f aca="false">C636/D636</f>
        <v>37.4923669233298</v>
      </c>
      <c r="G636" s="13" t="n">
        <f aca="false">B636-C636</f>
        <v>-45503.115219669</v>
      </c>
      <c r="H636" s="16" t="n">
        <f aca="false">G636/B636</f>
        <v>-0.12363710624104</v>
      </c>
      <c r="I636" s="15" t="n">
        <f aca="false">G636/D636</f>
        <v>-4.12539575880952</v>
      </c>
      <c r="J636" s="16" t="n">
        <f aca="false">I636/E636</f>
        <v>-0.12363710624104</v>
      </c>
      <c r="K636" s="17" t="str">
        <f aca="false">TEXT(A636,"dddd")</f>
        <v>Friday</v>
      </c>
      <c r="L636" s="17" t="str">
        <f aca="false">IF(AND(A636&gt;=DATE(2014,9,24),A636&lt;=DATE(2014,10,6)),"Promo 1",IF(AND(A636&gt;=DATE(2014,9,10),A636&lt;=DATE(2014,9,23)),"Baseline 1",IF(AND(A636&gt;=DATE(2015,9,23),A636&lt;=DATE(2015,10,6)),"Promo 2",IF(AND(A636&gt;=DATE(2015,9,9),A636&lt;=DATE(2015,9,22)),"Baseline 2",IF(AND(A636&gt;=DATE(2016,6,23),A636&lt;=DATE(2016,7,6)),"Promo 3",IF(AND(A636&gt;=DATE(2016,6,9),A636&lt;=DATE(2016,6,22)),"Baseline 3","Other"))))))</f>
        <v>Promo 2</v>
      </c>
    </row>
    <row r="637" customFormat="false" ht="15" hidden="false" customHeight="true" outlineLevel="0" collapsed="false">
      <c r="A637" s="12" t="n">
        <v>42273</v>
      </c>
      <c r="B637" s="13" t="n">
        <v>351319.63806908</v>
      </c>
      <c r="C637" s="13" t="n">
        <v>397626.585058456</v>
      </c>
      <c r="D637" s="14" t="n">
        <v>10528</v>
      </c>
      <c r="E637" s="15" t="n">
        <f aca="false">B637/D637</f>
        <v>33.3700264123366</v>
      </c>
      <c r="F637" s="15" t="n">
        <f aca="false">C637/D637</f>
        <v>37.7684826233336</v>
      </c>
      <c r="G637" s="13" t="n">
        <f aca="false">B637-C637</f>
        <v>-46306.946989376</v>
      </c>
      <c r="H637" s="16" t="n">
        <f aca="false">G637/B637</f>
        <v>-0.131808592437041</v>
      </c>
      <c r="I637" s="15" t="n">
        <f aca="false">G637/D637</f>
        <v>-4.39845621099696</v>
      </c>
      <c r="J637" s="16" t="n">
        <f aca="false">I637/E637</f>
        <v>-0.131808592437041</v>
      </c>
      <c r="K637" s="17" t="str">
        <f aca="false">TEXT(A637,"dddd")</f>
        <v>Saturday</v>
      </c>
      <c r="L637" s="17" t="str">
        <f aca="false">IF(AND(A637&gt;=DATE(2014,9,24),A637&lt;=DATE(2014,10,6)),"Promo 1",IF(AND(A637&gt;=DATE(2014,9,10),A637&lt;=DATE(2014,9,23)),"Baseline 1",IF(AND(A637&gt;=DATE(2015,9,23),A637&lt;=DATE(2015,10,6)),"Promo 2",IF(AND(A637&gt;=DATE(2015,9,9),A637&lt;=DATE(2015,9,22)),"Baseline 2",IF(AND(A637&gt;=DATE(2016,6,23),A637&lt;=DATE(2016,7,6)),"Promo 3",IF(AND(A637&gt;=DATE(2016,6,9),A637&lt;=DATE(2016,6,22)),"Baseline 3","Other"))))))</f>
        <v>Promo 2</v>
      </c>
    </row>
    <row r="638" customFormat="false" ht="15" hidden="false" customHeight="true" outlineLevel="0" collapsed="false">
      <c r="A638" s="12" t="n">
        <v>42274</v>
      </c>
      <c r="B638" s="13" t="n">
        <v>163289.936668804</v>
      </c>
      <c r="C638" s="13" t="n">
        <v>185404.04401051</v>
      </c>
      <c r="D638" s="14" t="n">
        <v>4895</v>
      </c>
      <c r="E638" s="15" t="n">
        <f aca="false">B638/D638</f>
        <v>33.3585161734023</v>
      </c>
      <c r="F638" s="15" t="n">
        <f aca="false">C638/D638</f>
        <v>37.8762091952012</v>
      </c>
      <c r="G638" s="13" t="n">
        <f aca="false">B638-C638</f>
        <v>-22114.107341706</v>
      </c>
      <c r="H638" s="16" t="n">
        <f aca="false">G638/B638</f>
        <v>-0.135428476444077</v>
      </c>
      <c r="I638" s="15" t="n">
        <f aca="false">G638/D638</f>
        <v>-4.51769302179898</v>
      </c>
      <c r="J638" s="16" t="n">
        <f aca="false">I638/E638</f>
        <v>-0.135428476444077</v>
      </c>
      <c r="K638" s="17" t="str">
        <f aca="false">TEXT(A638,"dddd")</f>
        <v>Sunday</v>
      </c>
      <c r="L638" s="17" t="str">
        <f aca="false">IF(AND(A638&gt;=DATE(2014,9,24),A638&lt;=DATE(2014,10,6)),"Promo 1",IF(AND(A638&gt;=DATE(2014,9,10),A638&lt;=DATE(2014,9,23)),"Baseline 1",IF(AND(A638&gt;=DATE(2015,9,23),A638&lt;=DATE(2015,10,6)),"Promo 2",IF(AND(A638&gt;=DATE(2015,9,9),A638&lt;=DATE(2015,9,22)),"Baseline 2",IF(AND(A638&gt;=DATE(2016,6,23),A638&lt;=DATE(2016,7,6)),"Promo 3",IF(AND(A638&gt;=DATE(2016,6,9),A638&lt;=DATE(2016,6,22)),"Baseline 3","Other"))))))</f>
        <v>Promo 2</v>
      </c>
    </row>
    <row r="639" customFormat="false" ht="15" hidden="false" customHeight="true" outlineLevel="0" collapsed="false">
      <c r="A639" s="12" t="n">
        <v>42275</v>
      </c>
      <c r="B639" s="13" t="n">
        <v>190892.458987576</v>
      </c>
      <c r="C639" s="13" t="n">
        <v>216571.059521462</v>
      </c>
      <c r="D639" s="14" t="n">
        <v>5720</v>
      </c>
      <c r="E639" s="15" t="n">
        <f aca="false">B639/D639</f>
        <v>33.3728075153105</v>
      </c>
      <c r="F639" s="15" t="n">
        <f aca="false">C639/D639</f>
        <v>37.8620733429129</v>
      </c>
      <c r="G639" s="13" t="n">
        <f aca="false">B639-C639</f>
        <v>-25678.600533886</v>
      </c>
      <c r="H639" s="16" t="n">
        <f aca="false">G639/B639</f>
        <v>-0.134518674389109</v>
      </c>
      <c r="I639" s="15" t="n">
        <f aca="false">G639/D639</f>
        <v>-4.48926582760245</v>
      </c>
      <c r="J639" s="16" t="n">
        <f aca="false">I639/E639</f>
        <v>-0.134518674389109</v>
      </c>
      <c r="K639" s="17" t="str">
        <f aca="false">TEXT(A639,"dddd")</f>
        <v>Monday</v>
      </c>
      <c r="L639" s="17" t="str">
        <f aca="false">IF(AND(A639&gt;=DATE(2014,9,24),A639&lt;=DATE(2014,10,6)),"Promo 1",IF(AND(A639&gt;=DATE(2014,9,10),A639&lt;=DATE(2014,9,23)),"Baseline 1",IF(AND(A639&gt;=DATE(2015,9,23),A639&lt;=DATE(2015,10,6)),"Promo 2",IF(AND(A639&gt;=DATE(2015,9,9),A639&lt;=DATE(2015,9,22)),"Baseline 2",IF(AND(A639&gt;=DATE(2016,6,23),A639&lt;=DATE(2016,7,6)),"Promo 3",IF(AND(A639&gt;=DATE(2016,6,9),A639&lt;=DATE(2016,6,22)),"Baseline 3","Other"))))))</f>
        <v>Promo 2</v>
      </c>
    </row>
    <row r="640" customFormat="false" ht="15" hidden="false" customHeight="true" outlineLevel="0" collapsed="false">
      <c r="A640" s="12" t="n">
        <v>42276</v>
      </c>
      <c r="B640" s="13" t="n">
        <v>143082.133265768</v>
      </c>
      <c r="C640" s="13" t="n">
        <v>162929.018472353</v>
      </c>
      <c r="D640" s="14" t="n">
        <v>4288</v>
      </c>
      <c r="E640" s="15" t="n">
        <f aca="false">B640/D640</f>
        <v>33.3680348101138</v>
      </c>
      <c r="F640" s="15" t="n">
        <f aca="false">C640/D640</f>
        <v>37.9965061735898</v>
      </c>
      <c r="G640" s="13" t="n">
        <f aca="false">B640-C640</f>
        <v>-19846.885206585</v>
      </c>
      <c r="H640" s="16" t="n">
        <f aca="false">G640/B640</f>
        <v>-0.138709737921788</v>
      </c>
      <c r="I640" s="15" t="n">
        <f aca="false">G640/D640</f>
        <v>-4.62847136347598</v>
      </c>
      <c r="J640" s="16" t="n">
        <f aca="false">I640/E640</f>
        <v>-0.138709737921788</v>
      </c>
      <c r="K640" s="17" t="str">
        <f aca="false">TEXT(A640,"dddd")</f>
        <v>Tuesday</v>
      </c>
      <c r="L640" s="17" t="str">
        <f aca="false">IF(AND(A640&gt;=DATE(2014,9,24),A640&lt;=DATE(2014,10,6)),"Promo 1",IF(AND(A640&gt;=DATE(2014,9,10),A640&lt;=DATE(2014,9,23)),"Baseline 1",IF(AND(A640&gt;=DATE(2015,9,23),A640&lt;=DATE(2015,10,6)),"Promo 2",IF(AND(A640&gt;=DATE(2015,9,9),A640&lt;=DATE(2015,9,22)),"Baseline 2",IF(AND(A640&gt;=DATE(2016,6,23),A640&lt;=DATE(2016,7,6)),"Promo 3",IF(AND(A640&gt;=DATE(2016,6,9),A640&lt;=DATE(2016,6,22)),"Baseline 3","Other"))))))</f>
        <v>Promo 2</v>
      </c>
    </row>
    <row r="641" customFormat="false" ht="15" hidden="false" customHeight="true" outlineLevel="0" collapsed="false">
      <c r="A641" s="12" t="n">
        <v>42277</v>
      </c>
      <c r="B641" s="13" t="n">
        <v>323548.785342069</v>
      </c>
      <c r="C641" s="13" t="n">
        <v>368434.885908865</v>
      </c>
      <c r="D641" s="14" t="n">
        <v>9693</v>
      </c>
      <c r="E641" s="15" t="n">
        <f aca="false">B641/D641</f>
        <v>33.3796332757731</v>
      </c>
      <c r="F641" s="15" t="n">
        <f aca="false">C641/D641</f>
        <v>38.0104081201759</v>
      </c>
      <c r="G641" s="13" t="n">
        <f aca="false">B641-C641</f>
        <v>-44886.100566796</v>
      </c>
      <c r="H641" s="16" t="n">
        <f aca="false">G641/B641</f>
        <v>-0.138730548839306</v>
      </c>
      <c r="I641" s="15" t="n">
        <f aca="false">G641/D641</f>
        <v>-4.63077484440277</v>
      </c>
      <c r="J641" s="16" t="n">
        <f aca="false">I641/E641</f>
        <v>-0.138730548839306</v>
      </c>
      <c r="K641" s="17" t="str">
        <f aca="false">TEXT(A641,"dddd")</f>
        <v>Wednesday</v>
      </c>
      <c r="L641" s="17" t="str">
        <f aca="false">IF(AND(A641&gt;=DATE(2014,9,24),A641&lt;=DATE(2014,10,6)),"Promo 1",IF(AND(A641&gt;=DATE(2014,9,10),A641&lt;=DATE(2014,9,23)),"Baseline 1",IF(AND(A641&gt;=DATE(2015,9,23),A641&lt;=DATE(2015,10,6)),"Promo 2",IF(AND(A641&gt;=DATE(2015,9,9),A641&lt;=DATE(2015,9,22)),"Baseline 2",IF(AND(A641&gt;=DATE(2016,6,23),A641&lt;=DATE(2016,7,6)),"Promo 3",IF(AND(A641&gt;=DATE(2016,6,9),A641&lt;=DATE(2016,6,22)),"Baseline 3","Other"))))))</f>
        <v>Promo 2</v>
      </c>
    </row>
    <row r="642" customFormat="false" ht="15" hidden="false" customHeight="true" outlineLevel="0" collapsed="false">
      <c r="A642" s="12" t="n">
        <v>42278</v>
      </c>
      <c r="B642" s="13" t="n">
        <v>402312.333158947</v>
      </c>
      <c r="C642" s="13" t="n">
        <v>459285.804526007</v>
      </c>
      <c r="D642" s="14" t="n">
        <v>12065</v>
      </c>
      <c r="E642" s="15" t="n">
        <f aca="false">B642/D642</f>
        <v>33.3454068096931</v>
      </c>
      <c r="F642" s="15" t="n">
        <f aca="false">C642/D642</f>
        <v>38.0676174493168</v>
      </c>
      <c r="G642" s="13" t="n">
        <f aca="false">B642-C642</f>
        <v>-56973.47136706</v>
      </c>
      <c r="H642" s="16" t="n">
        <f aca="false">G642/B642</f>
        <v>-0.141615025618791</v>
      </c>
      <c r="I642" s="15" t="n">
        <f aca="false">G642/D642</f>
        <v>-4.7222106396237</v>
      </c>
      <c r="J642" s="16" t="n">
        <f aca="false">I642/E642</f>
        <v>-0.141615025618791</v>
      </c>
      <c r="K642" s="17" t="str">
        <f aca="false">TEXT(A642,"dddd")</f>
        <v>Thursday</v>
      </c>
      <c r="L642" s="17" t="str">
        <f aca="false">IF(AND(A642&gt;=DATE(2014,9,24),A642&lt;=DATE(2014,10,6)),"Promo 1",IF(AND(A642&gt;=DATE(2014,9,10),A642&lt;=DATE(2014,9,23)),"Baseline 1",IF(AND(A642&gt;=DATE(2015,9,23),A642&lt;=DATE(2015,10,6)),"Promo 2",IF(AND(A642&gt;=DATE(2015,9,9),A642&lt;=DATE(2015,9,22)),"Baseline 2",IF(AND(A642&gt;=DATE(2016,6,23),A642&lt;=DATE(2016,7,6)),"Promo 3",IF(AND(A642&gt;=DATE(2016,6,9),A642&lt;=DATE(2016,6,22)),"Baseline 3","Other"))))))</f>
        <v>Promo 2</v>
      </c>
    </row>
    <row r="643" customFormat="false" ht="15" hidden="false" customHeight="true" outlineLevel="0" collapsed="false">
      <c r="A643" s="12" t="n">
        <v>42279</v>
      </c>
      <c r="B643" s="13" t="n">
        <v>393635.174854894</v>
      </c>
      <c r="C643" s="13" t="n">
        <v>448390.965761974</v>
      </c>
      <c r="D643" s="14" t="n">
        <v>11758</v>
      </c>
      <c r="E643" s="15" t="n">
        <f aca="false">B643/D643</f>
        <v>33.4780723639134</v>
      </c>
      <c r="F643" s="15" t="n">
        <f aca="false">C643/D643</f>
        <v>38.1349690221104</v>
      </c>
      <c r="G643" s="13" t="n">
        <f aca="false">B643-C643</f>
        <v>-54755.79090708</v>
      </c>
      <c r="H643" s="16" t="n">
        <f aca="false">G643/B643</f>
        <v>-0.139102891217139</v>
      </c>
      <c r="I643" s="15" t="n">
        <f aca="false">G643/D643</f>
        <v>-4.65689665819697</v>
      </c>
      <c r="J643" s="16" t="n">
        <f aca="false">I643/E643</f>
        <v>-0.139102891217139</v>
      </c>
      <c r="K643" s="17" t="str">
        <f aca="false">TEXT(A643,"dddd")</f>
        <v>Friday</v>
      </c>
      <c r="L643" s="17" t="str">
        <f aca="false">IF(AND(A643&gt;=DATE(2014,9,24),A643&lt;=DATE(2014,10,6)),"Promo 1",IF(AND(A643&gt;=DATE(2014,9,10),A643&lt;=DATE(2014,9,23)),"Baseline 1",IF(AND(A643&gt;=DATE(2015,9,23),A643&lt;=DATE(2015,10,6)),"Promo 2",IF(AND(A643&gt;=DATE(2015,9,9),A643&lt;=DATE(2015,9,22)),"Baseline 2",IF(AND(A643&gt;=DATE(2016,6,23),A643&lt;=DATE(2016,7,6)),"Promo 3",IF(AND(A643&gt;=DATE(2016,6,9),A643&lt;=DATE(2016,6,22)),"Baseline 3","Other"))))))</f>
        <v>Promo 2</v>
      </c>
    </row>
    <row r="644" customFormat="false" ht="15" hidden="false" customHeight="true" outlineLevel="0" collapsed="false">
      <c r="A644" s="12" t="n">
        <v>42280</v>
      </c>
      <c r="B644" s="13" t="n">
        <v>451100.060076857</v>
      </c>
      <c r="C644" s="13" t="n">
        <v>515549.389916234</v>
      </c>
      <c r="D644" s="14" t="n">
        <v>13508</v>
      </c>
      <c r="E644" s="15" t="n">
        <f aca="false">B644/D644</f>
        <v>33.3950296177715</v>
      </c>
      <c r="F644" s="15" t="n">
        <f aca="false">C644/D644</f>
        <v>38.1662266742844</v>
      </c>
      <c r="G644" s="13" t="n">
        <f aca="false">B644-C644</f>
        <v>-64449.329839377</v>
      </c>
      <c r="H644" s="16" t="n">
        <f aca="false">G644/B644</f>
        <v>-0.142871472525178</v>
      </c>
      <c r="I644" s="15" t="n">
        <f aca="false">G644/D644</f>
        <v>-4.77119705651296</v>
      </c>
      <c r="J644" s="16" t="n">
        <f aca="false">I644/E644</f>
        <v>-0.142871472525178</v>
      </c>
      <c r="K644" s="17" t="str">
        <f aca="false">TEXT(A644,"dddd")</f>
        <v>Saturday</v>
      </c>
      <c r="L644" s="17" t="str">
        <f aca="false">IF(AND(A644&gt;=DATE(2014,9,24),A644&lt;=DATE(2014,10,6)),"Promo 1",IF(AND(A644&gt;=DATE(2014,9,10),A644&lt;=DATE(2014,9,23)),"Baseline 1",IF(AND(A644&gt;=DATE(2015,9,23),A644&lt;=DATE(2015,10,6)),"Promo 2",IF(AND(A644&gt;=DATE(2015,9,9),A644&lt;=DATE(2015,9,22)),"Baseline 2",IF(AND(A644&gt;=DATE(2016,6,23),A644&lt;=DATE(2016,7,6)),"Promo 3",IF(AND(A644&gt;=DATE(2016,6,9),A644&lt;=DATE(2016,6,22)),"Baseline 3","Other"))))))</f>
        <v>Promo 2</v>
      </c>
    </row>
    <row r="645" customFormat="false" ht="15" hidden="false" customHeight="true" outlineLevel="0" collapsed="false">
      <c r="A645" s="12" t="n">
        <v>42281</v>
      </c>
      <c r="B645" s="13" t="n">
        <v>202902.624901325</v>
      </c>
      <c r="C645" s="13" t="n">
        <v>232360.327155489</v>
      </c>
      <c r="D645" s="14" t="n">
        <v>6085</v>
      </c>
      <c r="E645" s="15" t="n">
        <f aca="false">B645/D645</f>
        <v>33.3447206082703</v>
      </c>
      <c r="F645" s="15" t="n">
        <f aca="false">C645/D645</f>
        <v>38.1857563115019</v>
      </c>
      <c r="G645" s="13" t="n">
        <f aca="false">B645-C645</f>
        <v>-29457.702254164</v>
      </c>
      <c r="H645" s="16" t="n">
        <f aca="false">G645/B645</f>
        <v>-0.145181474455985</v>
      </c>
      <c r="I645" s="15" t="n">
        <f aca="false">G645/D645</f>
        <v>-4.84103570323155</v>
      </c>
      <c r="J645" s="16" t="n">
        <f aca="false">I645/E645</f>
        <v>-0.145181474455985</v>
      </c>
      <c r="K645" s="17" t="str">
        <f aca="false">TEXT(A645,"dddd")</f>
        <v>Sunday</v>
      </c>
      <c r="L645" s="17" t="str">
        <f aca="false">IF(AND(A645&gt;=DATE(2014,9,24),A645&lt;=DATE(2014,10,6)),"Promo 1",IF(AND(A645&gt;=DATE(2014,9,10),A645&lt;=DATE(2014,9,23)),"Baseline 1",IF(AND(A645&gt;=DATE(2015,9,23),A645&lt;=DATE(2015,10,6)),"Promo 2",IF(AND(A645&gt;=DATE(2015,9,9),A645&lt;=DATE(2015,9,22)),"Baseline 2",IF(AND(A645&gt;=DATE(2016,6,23),A645&lt;=DATE(2016,7,6)),"Promo 3",IF(AND(A645&gt;=DATE(2016,6,9),A645&lt;=DATE(2016,6,22)),"Baseline 3","Other"))))))</f>
        <v>Promo 2</v>
      </c>
    </row>
    <row r="646" customFormat="false" ht="15" hidden="false" customHeight="true" outlineLevel="0" collapsed="false">
      <c r="A646" s="12" t="n">
        <v>42282</v>
      </c>
      <c r="B646" s="13" t="n">
        <v>294557.646366224</v>
      </c>
      <c r="C646" s="13" t="n">
        <v>336897.922400406</v>
      </c>
      <c r="D646" s="14" t="n">
        <v>8828</v>
      </c>
      <c r="E646" s="15" t="n">
        <f aca="false">B646/D646</f>
        <v>33.366294332377</v>
      </c>
      <c r="F646" s="15" t="n">
        <f aca="false">C646/D646</f>
        <v>38.1624289080659</v>
      </c>
      <c r="G646" s="13" t="n">
        <f aca="false">B646-C646</f>
        <v>-42340.276034182</v>
      </c>
      <c r="H646" s="16" t="n">
        <f aca="false">G646/B646</f>
        <v>-0.143741900970855</v>
      </c>
      <c r="I646" s="15" t="n">
        <f aca="false">G646/D646</f>
        <v>-4.79613457568894</v>
      </c>
      <c r="J646" s="16" t="n">
        <f aca="false">I646/E646</f>
        <v>-0.143741900970855</v>
      </c>
      <c r="K646" s="17" t="str">
        <f aca="false">TEXT(A646,"dddd")</f>
        <v>Monday</v>
      </c>
      <c r="L646" s="17" t="str">
        <f aca="false">IF(AND(A646&gt;=DATE(2014,9,24),A646&lt;=DATE(2014,10,6)),"Promo 1",IF(AND(A646&gt;=DATE(2014,9,10),A646&lt;=DATE(2014,9,23)),"Baseline 1",IF(AND(A646&gt;=DATE(2015,9,23),A646&lt;=DATE(2015,10,6)),"Promo 2",IF(AND(A646&gt;=DATE(2015,9,9),A646&lt;=DATE(2015,9,22)),"Baseline 2",IF(AND(A646&gt;=DATE(2016,6,23),A646&lt;=DATE(2016,7,6)),"Promo 3",IF(AND(A646&gt;=DATE(2016,6,9),A646&lt;=DATE(2016,6,22)),"Baseline 3","Other"))))))</f>
        <v>Promo 2</v>
      </c>
    </row>
    <row r="647" customFormat="false" ht="15" hidden="false" customHeight="true" outlineLevel="0" collapsed="false">
      <c r="A647" s="12" t="n">
        <v>42283</v>
      </c>
      <c r="B647" s="13" t="n">
        <v>221618.32824753</v>
      </c>
      <c r="C647" s="13" t="n">
        <v>253291.062286083</v>
      </c>
      <c r="D647" s="14" t="n">
        <v>6636</v>
      </c>
      <c r="E647" s="15" t="n">
        <f aca="false">B647/D647</f>
        <v>33.3963725508635</v>
      </c>
      <c r="F647" s="15" t="n">
        <f aca="false">C647/D647</f>
        <v>38.1692378369625</v>
      </c>
      <c r="G647" s="13" t="n">
        <f aca="false">B647-C647</f>
        <v>-31672.734038553</v>
      </c>
      <c r="H647" s="16" t="n">
        <f aca="false">G647/B647</f>
        <v>-0.142915679804141</v>
      </c>
      <c r="I647" s="15" t="n">
        <f aca="false">G647/D647</f>
        <v>-4.77286528609901</v>
      </c>
      <c r="J647" s="16" t="n">
        <f aca="false">I647/E647</f>
        <v>-0.142915679804141</v>
      </c>
      <c r="K647" s="17" t="str">
        <f aca="false">TEXT(A647,"dddd")</f>
        <v>Tuesday</v>
      </c>
      <c r="L647" s="17" t="str">
        <f aca="false">IF(AND(A647&gt;=DATE(2014,9,24),A647&lt;=DATE(2014,10,6)),"Promo 1",IF(AND(A647&gt;=DATE(2014,9,10),A647&lt;=DATE(2014,9,23)),"Baseline 1",IF(AND(A647&gt;=DATE(2015,9,23),A647&lt;=DATE(2015,10,6)),"Promo 2",IF(AND(A647&gt;=DATE(2015,9,9),A647&lt;=DATE(2015,9,22)),"Baseline 2",IF(AND(A647&gt;=DATE(2016,6,23),A647&lt;=DATE(2016,7,6)),"Promo 3",IF(AND(A647&gt;=DATE(2016,6,9),A647&lt;=DATE(2016,6,22)),"Baseline 3","Other"))))))</f>
        <v>Promo 2</v>
      </c>
    </row>
    <row r="648" customFormat="false" ht="15" hidden="false" customHeight="true" outlineLevel="0" collapsed="false">
      <c r="A648" s="12" t="n">
        <v>42284</v>
      </c>
      <c r="B648" s="13" t="n">
        <v>63968.3824801854</v>
      </c>
      <c r="C648" s="13" t="n">
        <v>61942.8426777466</v>
      </c>
      <c r="D648" s="14" t="n">
        <v>1622</v>
      </c>
      <c r="E648" s="15" t="n">
        <f aca="false">B648/D648</f>
        <v>39.4379670038134</v>
      </c>
      <c r="F648" s="15" t="n">
        <f aca="false">C648/D648</f>
        <v>38.1891755103247</v>
      </c>
      <c r="G648" s="13" t="n">
        <f aca="false">B648-C648</f>
        <v>2025.5398024388</v>
      </c>
      <c r="H648" s="16" t="n">
        <f aca="false">G648/B648</f>
        <v>0.0316647025281001</v>
      </c>
      <c r="I648" s="15" t="n">
        <f aca="false">G648/D648</f>
        <v>1.24879149348878</v>
      </c>
      <c r="J648" s="16" t="n">
        <f aca="false">I648/E648</f>
        <v>0.0316647025281001</v>
      </c>
      <c r="K648" s="17" t="str">
        <f aca="false">TEXT(A648,"dddd")</f>
        <v>Wednesday</v>
      </c>
      <c r="L648" s="17" t="str">
        <f aca="false">IF(AND(A648&gt;=DATE(2014,9,24),A648&lt;=DATE(2014,10,6)),"Promo 1",IF(AND(A648&gt;=DATE(2014,9,10),A648&lt;=DATE(2014,9,23)),"Baseline 1",IF(AND(A648&gt;=DATE(2015,9,23),A648&lt;=DATE(2015,10,6)),"Promo 2",IF(AND(A648&gt;=DATE(2015,9,9),A648&lt;=DATE(2015,9,22)),"Baseline 2",IF(AND(A648&gt;=DATE(2016,6,23),A648&lt;=DATE(2016,7,6)),"Promo 3",IF(AND(A648&gt;=DATE(2016,6,9),A648&lt;=DATE(2016,6,22)),"Baseline 3","Other"))))))</f>
        <v>Other</v>
      </c>
    </row>
    <row r="649" customFormat="false" ht="15" hidden="false" customHeight="true" outlineLevel="0" collapsed="false">
      <c r="A649" s="12" t="n">
        <v>42285</v>
      </c>
      <c r="B649" s="13" t="n">
        <v>59609.5447052804</v>
      </c>
      <c r="C649" s="13" t="n">
        <v>57736.476659463</v>
      </c>
      <c r="D649" s="14" t="n">
        <v>1512</v>
      </c>
      <c r="E649" s="15" t="n">
        <f aca="false">B649/D649</f>
        <v>39.4243020537569</v>
      </c>
      <c r="F649" s="15" t="n">
        <f aca="false">C649/D649</f>
        <v>38.1855004361528</v>
      </c>
      <c r="G649" s="13" t="n">
        <f aca="false">B649-C649</f>
        <v>1873.0680458174</v>
      </c>
      <c r="H649" s="16" t="n">
        <f aca="false">G649/B649</f>
        <v>0.0314222840499481</v>
      </c>
      <c r="I649" s="15" t="n">
        <f aca="false">G649/D649</f>
        <v>1.2388016176041</v>
      </c>
      <c r="J649" s="16" t="n">
        <f aca="false">I649/E649</f>
        <v>0.0314222840499481</v>
      </c>
      <c r="K649" s="17" t="str">
        <f aca="false">TEXT(A649,"dddd")</f>
        <v>Thursday</v>
      </c>
      <c r="L649" s="17" t="str">
        <f aca="false">IF(AND(A649&gt;=DATE(2014,9,24),A649&lt;=DATE(2014,10,6)),"Promo 1",IF(AND(A649&gt;=DATE(2014,9,10),A649&lt;=DATE(2014,9,23)),"Baseline 1",IF(AND(A649&gt;=DATE(2015,9,23),A649&lt;=DATE(2015,10,6)),"Promo 2",IF(AND(A649&gt;=DATE(2015,9,9),A649&lt;=DATE(2015,9,22)),"Baseline 2",IF(AND(A649&gt;=DATE(2016,6,23),A649&lt;=DATE(2016,7,6)),"Promo 3",IF(AND(A649&gt;=DATE(2016,6,9),A649&lt;=DATE(2016,6,22)),"Baseline 3","Other"))))))</f>
        <v>Other</v>
      </c>
    </row>
    <row r="650" customFormat="false" ht="15" hidden="false" customHeight="true" outlineLevel="0" collapsed="false">
      <c r="A650" s="12" t="n">
        <v>42286</v>
      </c>
      <c r="B650" s="13" t="n">
        <v>126588.252974516</v>
      </c>
      <c r="C650" s="13" t="n">
        <v>122622.36311479</v>
      </c>
      <c r="D650" s="14" t="n">
        <v>3211</v>
      </c>
      <c r="E650" s="15" t="n">
        <f aca="false">B650/D650</f>
        <v>39.4233114215248</v>
      </c>
      <c r="F650" s="15" t="n">
        <f aca="false">C650/D650</f>
        <v>38.1882164792245</v>
      </c>
      <c r="G650" s="13" t="n">
        <f aca="false">B650-C650</f>
        <v>3965.889859726</v>
      </c>
      <c r="H650" s="16" t="n">
        <f aca="false">G650/B650</f>
        <v>0.0313290512076534</v>
      </c>
      <c r="I650" s="15" t="n">
        <f aca="false">G650/D650</f>
        <v>1.23509494230022</v>
      </c>
      <c r="J650" s="16" t="n">
        <f aca="false">I650/E650</f>
        <v>0.0313290512076534</v>
      </c>
      <c r="K650" s="17" t="str">
        <f aca="false">TEXT(A650,"dddd")</f>
        <v>Friday</v>
      </c>
      <c r="L650" s="17" t="str">
        <f aca="false">IF(AND(A650&gt;=DATE(2014,9,24),A650&lt;=DATE(2014,10,6)),"Promo 1",IF(AND(A650&gt;=DATE(2014,9,10),A650&lt;=DATE(2014,9,23)),"Baseline 1",IF(AND(A650&gt;=DATE(2015,9,23),A650&lt;=DATE(2015,10,6)),"Promo 2",IF(AND(A650&gt;=DATE(2015,9,9),A650&lt;=DATE(2015,9,22)),"Baseline 2",IF(AND(A650&gt;=DATE(2016,6,23),A650&lt;=DATE(2016,7,6)),"Promo 3",IF(AND(A650&gt;=DATE(2016,6,9),A650&lt;=DATE(2016,6,22)),"Baseline 3","Other"))))))</f>
        <v>Other</v>
      </c>
    </row>
    <row r="651" customFormat="false" ht="15" hidden="false" customHeight="true" outlineLevel="0" collapsed="false">
      <c r="A651" s="12" t="n">
        <v>42287</v>
      </c>
      <c r="B651" s="13" t="n">
        <v>119755.011590481</v>
      </c>
      <c r="C651" s="13" t="n">
        <v>116003.686913625</v>
      </c>
      <c r="D651" s="14" t="n">
        <v>3037</v>
      </c>
      <c r="E651" s="15" t="n">
        <f aca="false">B651/D651</f>
        <v>39.4320090847814</v>
      </c>
      <c r="F651" s="15" t="n">
        <f aca="false">C651/D651</f>
        <v>38.1968017496296</v>
      </c>
      <c r="G651" s="13" t="n">
        <f aca="false">B651-C651</f>
        <v>3751.32467685599</v>
      </c>
      <c r="H651" s="16" t="n">
        <f aca="false">G651/B651</f>
        <v>0.0313249911384433</v>
      </c>
      <c r="I651" s="15" t="n">
        <f aca="false">G651/D651</f>
        <v>1.23520733515179</v>
      </c>
      <c r="J651" s="16" t="n">
        <f aca="false">I651/E651</f>
        <v>0.0313249911384433</v>
      </c>
      <c r="K651" s="17" t="str">
        <f aca="false">TEXT(A651,"dddd")</f>
        <v>Saturday</v>
      </c>
      <c r="L651" s="17" t="str">
        <f aca="false">IF(AND(A651&gt;=DATE(2014,9,24),A651&lt;=DATE(2014,10,6)),"Promo 1",IF(AND(A651&gt;=DATE(2014,9,10),A651&lt;=DATE(2014,9,23)),"Baseline 1",IF(AND(A651&gt;=DATE(2015,9,23),A651&lt;=DATE(2015,10,6)),"Promo 2",IF(AND(A651&gt;=DATE(2015,9,9),A651&lt;=DATE(2015,9,22)),"Baseline 2",IF(AND(A651&gt;=DATE(2016,6,23),A651&lt;=DATE(2016,7,6)),"Promo 3",IF(AND(A651&gt;=DATE(2016,6,9),A651&lt;=DATE(2016,6,22)),"Baseline 3","Other"))))))</f>
        <v>Other</v>
      </c>
    </row>
    <row r="652" customFormat="false" ht="15" hidden="false" customHeight="true" outlineLevel="0" collapsed="false">
      <c r="A652" s="12" t="n">
        <v>42288</v>
      </c>
      <c r="B652" s="13" t="n">
        <v>57413.4104820904</v>
      </c>
      <c r="C652" s="13" t="n">
        <v>55617.5846439297</v>
      </c>
      <c r="D652" s="14" t="n">
        <v>1456</v>
      </c>
      <c r="E652" s="15" t="n">
        <f aca="false">B652/D652</f>
        <v>39.4322874190181</v>
      </c>
      <c r="F652" s="15" t="n">
        <f aca="false">C652/D652</f>
        <v>38.1988905521495</v>
      </c>
      <c r="G652" s="13" t="n">
        <f aca="false">B652-C652</f>
        <v>1795.8258381607</v>
      </c>
      <c r="H652" s="16" t="n">
        <f aca="false">G652/B652</f>
        <v>0.0312788566831593</v>
      </c>
      <c r="I652" s="15" t="n">
        <f aca="false">G652/D652</f>
        <v>1.23339686686861</v>
      </c>
      <c r="J652" s="16" t="n">
        <f aca="false">I652/E652</f>
        <v>0.0312788566831593</v>
      </c>
      <c r="K652" s="17" t="str">
        <f aca="false">TEXT(A652,"dddd")</f>
        <v>Sunday</v>
      </c>
      <c r="L652" s="17" t="str">
        <f aca="false">IF(AND(A652&gt;=DATE(2014,9,24),A652&lt;=DATE(2014,10,6)),"Promo 1",IF(AND(A652&gt;=DATE(2014,9,10),A652&lt;=DATE(2014,9,23)),"Baseline 1",IF(AND(A652&gt;=DATE(2015,9,23),A652&lt;=DATE(2015,10,6)),"Promo 2",IF(AND(A652&gt;=DATE(2015,9,9),A652&lt;=DATE(2015,9,22)),"Baseline 2",IF(AND(A652&gt;=DATE(2016,6,23),A652&lt;=DATE(2016,7,6)),"Promo 3",IF(AND(A652&gt;=DATE(2016,6,9),A652&lt;=DATE(2016,6,22)),"Baseline 3","Other"))))))</f>
        <v>Other</v>
      </c>
    </row>
    <row r="653" customFormat="false" ht="15" hidden="false" customHeight="true" outlineLevel="0" collapsed="false">
      <c r="A653" s="12" t="n">
        <v>42289</v>
      </c>
      <c r="B653" s="13" t="n">
        <v>57749.1369386054</v>
      </c>
      <c r="C653" s="13" t="n">
        <v>55933.0085758462</v>
      </c>
      <c r="D653" s="14" t="n">
        <v>1465</v>
      </c>
      <c r="E653" s="15" t="n">
        <f aca="false">B653/D653</f>
        <v>39.4192061014371</v>
      </c>
      <c r="F653" s="15" t="n">
        <f aca="false">C653/D653</f>
        <v>38.1795280381203</v>
      </c>
      <c r="G653" s="13" t="n">
        <f aca="false">B653-C653</f>
        <v>1816.1283627592</v>
      </c>
      <c r="H653" s="16" t="n">
        <f aca="false">G653/B653</f>
        <v>0.0314485801699508</v>
      </c>
      <c r="I653" s="15" t="n">
        <f aca="false">G653/D653</f>
        <v>1.23967806331686</v>
      </c>
      <c r="J653" s="16" t="n">
        <f aca="false">I653/E653</f>
        <v>0.0314485801699508</v>
      </c>
      <c r="K653" s="17" t="str">
        <f aca="false">TEXT(A653,"dddd")</f>
        <v>Monday</v>
      </c>
      <c r="L653" s="17" t="str">
        <f aca="false">IF(AND(A653&gt;=DATE(2014,9,24),A653&lt;=DATE(2014,10,6)),"Promo 1",IF(AND(A653&gt;=DATE(2014,9,10),A653&lt;=DATE(2014,9,23)),"Baseline 1",IF(AND(A653&gt;=DATE(2015,9,23),A653&lt;=DATE(2015,10,6)),"Promo 2",IF(AND(A653&gt;=DATE(2015,9,9),A653&lt;=DATE(2015,9,22)),"Baseline 2",IF(AND(A653&gt;=DATE(2016,6,23),A653&lt;=DATE(2016,7,6)),"Promo 3",IF(AND(A653&gt;=DATE(2016,6,9),A653&lt;=DATE(2016,6,22)),"Baseline 3","Other"))))))</f>
        <v>Other</v>
      </c>
    </row>
    <row r="654" customFormat="false" ht="15" hidden="false" customHeight="true" outlineLevel="0" collapsed="false">
      <c r="A654" s="12" t="n">
        <v>42290</v>
      </c>
      <c r="B654" s="13" t="n">
        <v>40140.8200345552</v>
      </c>
      <c r="C654" s="13" t="n">
        <v>38881.0884417864</v>
      </c>
      <c r="D654" s="14" t="n">
        <v>1018</v>
      </c>
      <c r="E654" s="15" t="n">
        <f aca="false">B654/D654</f>
        <v>39.431060937677</v>
      </c>
      <c r="F654" s="15" t="n">
        <f aca="false">C654/D654</f>
        <v>38.1936035773933</v>
      </c>
      <c r="G654" s="13" t="n">
        <f aca="false">B654-C654</f>
        <v>1259.7315927688</v>
      </c>
      <c r="H654" s="16" t="n">
        <f aca="false">G654/B654</f>
        <v>0.0313828066213985</v>
      </c>
      <c r="I654" s="15" t="n">
        <f aca="false">G654/D654</f>
        <v>1.2374573602837</v>
      </c>
      <c r="J654" s="16" t="n">
        <f aca="false">I654/E654</f>
        <v>0.0313828066213985</v>
      </c>
      <c r="K654" s="17" t="str">
        <f aca="false">TEXT(A654,"dddd")</f>
        <v>Tuesday</v>
      </c>
      <c r="L654" s="17" t="str">
        <f aca="false">IF(AND(A654&gt;=DATE(2014,9,24),A654&lt;=DATE(2014,10,6)),"Promo 1",IF(AND(A654&gt;=DATE(2014,9,10),A654&lt;=DATE(2014,9,23)),"Baseline 1",IF(AND(A654&gt;=DATE(2015,9,23),A654&lt;=DATE(2015,10,6)),"Promo 2",IF(AND(A654&gt;=DATE(2015,9,9),A654&lt;=DATE(2015,9,22)),"Baseline 2",IF(AND(A654&gt;=DATE(2016,6,23),A654&lt;=DATE(2016,7,6)),"Promo 3",IF(AND(A654&gt;=DATE(2016,6,9),A654&lt;=DATE(2016,6,22)),"Baseline 3","Other"))))))</f>
        <v>Other</v>
      </c>
    </row>
    <row r="655" customFormat="false" ht="15" hidden="false" customHeight="true" outlineLevel="0" collapsed="false">
      <c r="A655" s="12" t="n">
        <v>42291</v>
      </c>
      <c r="B655" s="13" t="n">
        <v>42195.8173648503</v>
      </c>
      <c r="C655" s="13" t="n">
        <v>40869.2494722671</v>
      </c>
      <c r="D655" s="14" t="n">
        <v>1070</v>
      </c>
      <c r="E655" s="15" t="n">
        <f aca="false">B655/D655</f>
        <v>39.4353433316358</v>
      </c>
      <c r="F655" s="15" t="n">
        <f aca="false">C655/D655</f>
        <v>38.1955602544552</v>
      </c>
      <c r="G655" s="13" t="n">
        <f aca="false">B655-C655</f>
        <v>1326.5678925832</v>
      </c>
      <c r="H655" s="16" t="n">
        <f aca="false">G655/B655</f>
        <v>0.0314383741192378</v>
      </c>
      <c r="I655" s="15" t="n">
        <f aca="false">G655/D655</f>
        <v>1.23978307718056</v>
      </c>
      <c r="J655" s="16" t="n">
        <f aca="false">I655/E655</f>
        <v>0.0314383741192378</v>
      </c>
      <c r="K655" s="17" t="str">
        <f aca="false">TEXT(A655,"dddd")</f>
        <v>Wednesday</v>
      </c>
      <c r="L655" s="17" t="str">
        <f aca="false">IF(AND(A655&gt;=DATE(2014,9,24),A655&lt;=DATE(2014,10,6)),"Promo 1",IF(AND(A655&gt;=DATE(2014,9,10),A655&lt;=DATE(2014,9,23)),"Baseline 1",IF(AND(A655&gt;=DATE(2015,9,23),A655&lt;=DATE(2015,10,6)),"Promo 2",IF(AND(A655&gt;=DATE(2015,9,9),A655&lt;=DATE(2015,9,22)),"Baseline 2",IF(AND(A655&gt;=DATE(2016,6,23),A655&lt;=DATE(2016,7,6)),"Promo 3",IF(AND(A655&gt;=DATE(2016,6,9),A655&lt;=DATE(2016,6,22)),"Baseline 3","Other"))))))</f>
        <v>Other</v>
      </c>
    </row>
    <row r="656" customFormat="false" ht="15" hidden="false" customHeight="true" outlineLevel="0" collapsed="false">
      <c r="A656" s="12" t="n">
        <v>42292</v>
      </c>
      <c r="B656" s="13" t="n">
        <v>53490.7974653904</v>
      </c>
      <c r="C656" s="13" t="n">
        <v>51799.1659034008</v>
      </c>
      <c r="D656" s="14" t="n">
        <v>1357</v>
      </c>
      <c r="E656" s="15" t="n">
        <f aca="false">B656/D656</f>
        <v>39.4184211240902</v>
      </c>
      <c r="F656" s="15" t="n">
        <f aca="false">C656/D656</f>
        <v>38.1718245419313</v>
      </c>
      <c r="G656" s="13" t="n">
        <f aca="false">B656-C656</f>
        <v>1691.63156198961</v>
      </c>
      <c r="H656" s="16" t="n">
        <f aca="false">G656/B656</f>
        <v>0.0316247213005961</v>
      </c>
      <c r="I656" s="15" t="n">
        <f aca="false">G656/D656</f>
        <v>1.24659658215888</v>
      </c>
      <c r="J656" s="16" t="n">
        <f aca="false">I656/E656</f>
        <v>0.0316247213005961</v>
      </c>
      <c r="K656" s="17" t="str">
        <f aca="false">TEXT(A656,"dddd")</f>
        <v>Thursday</v>
      </c>
      <c r="L656" s="17" t="str">
        <f aca="false">IF(AND(A656&gt;=DATE(2014,9,24),A656&lt;=DATE(2014,10,6)),"Promo 1",IF(AND(A656&gt;=DATE(2014,9,10),A656&lt;=DATE(2014,9,23)),"Baseline 1",IF(AND(A656&gt;=DATE(2015,9,23),A656&lt;=DATE(2015,10,6)),"Promo 2",IF(AND(A656&gt;=DATE(2015,9,9),A656&lt;=DATE(2015,9,22)),"Baseline 2",IF(AND(A656&gt;=DATE(2016,6,23),A656&lt;=DATE(2016,7,6)),"Promo 3",IF(AND(A656&gt;=DATE(2016,6,9),A656&lt;=DATE(2016,6,22)),"Baseline 3","Other"))))))</f>
        <v>Other</v>
      </c>
    </row>
    <row r="657" customFormat="false" ht="15" hidden="false" customHeight="true" outlineLevel="0" collapsed="false">
      <c r="A657" s="12" t="n">
        <v>42293</v>
      </c>
      <c r="B657" s="13" t="n">
        <v>110809.315805578</v>
      </c>
      <c r="C657" s="13" t="n">
        <v>107331.980515123</v>
      </c>
      <c r="D657" s="14" t="n">
        <v>2810</v>
      </c>
      <c r="E657" s="15" t="n">
        <f aca="false">B657/D657</f>
        <v>39.4339202155082</v>
      </c>
      <c r="F657" s="15" t="n">
        <f aca="false">C657/D657</f>
        <v>38.1964343470189</v>
      </c>
      <c r="G657" s="13" t="n">
        <f aca="false">B657-C657</f>
        <v>3477.335290455</v>
      </c>
      <c r="H657" s="16" t="n">
        <f aca="false">G657/B657</f>
        <v>0.0313812540504826</v>
      </c>
      <c r="I657" s="15" t="n">
        <f aca="false">G657/D657</f>
        <v>1.23748586848932</v>
      </c>
      <c r="J657" s="16" t="n">
        <f aca="false">I657/E657</f>
        <v>0.0313812540504826</v>
      </c>
      <c r="K657" s="17" t="str">
        <f aca="false">TEXT(A657,"dddd")</f>
        <v>Friday</v>
      </c>
      <c r="L657" s="17" t="str">
        <f aca="false">IF(AND(A657&gt;=DATE(2014,9,24),A657&lt;=DATE(2014,10,6)),"Promo 1",IF(AND(A657&gt;=DATE(2014,9,10),A657&lt;=DATE(2014,9,23)),"Baseline 1",IF(AND(A657&gt;=DATE(2015,9,23),A657&lt;=DATE(2015,10,6)),"Promo 2",IF(AND(A657&gt;=DATE(2015,9,9),A657&lt;=DATE(2015,9,22)),"Baseline 2",IF(AND(A657&gt;=DATE(2016,6,23),A657&lt;=DATE(2016,7,6)),"Promo 3",IF(AND(A657&gt;=DATE(2016,6,9),A657&lt;=DATE(2016,6,22)),"Baseline 3","Other"))))))</f>
        <v>Other</v>
      </c>
    </row>
    <row r="658" customFormat="false" ht="15" hidden="false" customHeight="true" outlineLevel="0" collapsed="false">
      <c r="A658" s="12" t="n">
        <v>42294</v>
      </c>
      <c r="B658" s="13" t="n">
        <v>111527.013469603</v>
      </c>
      <c r="C658" s="13" t="n">
        <v>108023.607343921</v>
      </c>
      <c r="D658" s="14" t="n">
        <v>2829</v>
      </c>
      <c r="E658" s="15" t="n">
        <f aca="false">B658/D658</f>
        <v>39.4227689889017</v>
      </c>
      <c r="F658" s="15" t="n">
        <f aca="false">C658/D658</f>
        <v>38.184378700573</v>
      </c>
      <c r="G658" s="13" t="n">
        <f aca="false">B658-C658</f>
        <v>3503.406125682</v>
      </c>
      <c r="H658" s="16" t="n">
        <f aca="false">G658/B658</f>
        <v>0.031413072193822</v>
      </c>
      <c r="I658" s="15" t="n">
        <f aca="false">G658/D658</f>
        <v>1.23839028832874</v>
      </c>
      <c r="J658" s="16" t="n">
        <f aca="false">I658/E658</f>
        <v>0.031413072193822</v>
      </c>
      <c r="K658" s="17" t="str">
        <f aca="false">TEXT(A658,"dddd")</f>
        <v>Saturday</v>
      </c>
      <c r="L658" s="17" t="str">
        <f aca="false">IF(AND(A658&gt;=DATE(2014,9,24),A658&lt;=DATE(2014,10,6)),"Promo 1",IF(AND(A658&gt;=DATE(2014,9,10),A658&lt;=DATE(2014,9,23)),"Baseline 1",IF(AND(A658&gt;=DATE(2015,9,23),A658&lt;=DATE(2015,10,6)),"Promo 2",IF(AND(A658&gt;=DATE(2015,9,9),A658&lt;=DATE(2015,9,22)),"Baseline 2",IF(AND(A658&gt;=DATE(2016,6,23),A658&lt;=DATE(2016,7,6)),"Promo 3",IF(AND(A658&gt;=DATE(2016,6,9),A658&lt;=DATE(2016,6,22)),"Baseline 3","Other"))))))</f>
        <v>Other</v>
      </c>
    </row>
    <row r="659" customFormat="false" ht="15" hidden="false" customHeight="true" outlineLevel="0" collapsed="false">
      <c r="A659" s="12" t="n">
        <v>42295</v>
      </c>
      <c r="B659" s="13" t="n">
        <v>59808.1386687504</v>
      </c>
      <c r="C659" s="13" t="n">
        <v>57937.4586559695</v>
      </c>
      <c r="D659" s="14" t="n">
        <v>1517</v>
      </c>
      <c r="E659" s="15" t="n">
        <f aca="false">B659/D659</f>
        <v>39.4252726886951</v>
      </c>
      <c r="F659" s="15" t="n">
        <f aca="false">C659/D659</f>
        <v>38.1921283163939</v>
      </c>
      <c r="G659" s="13" t="n">
        <f aca="false">B659-C659</f>
        <v>1870.6800127809</v>
      </c>
      <c r="H659" s="16" t="n">
        <f aca="false">G659/B659</f>
        <v>0.0312780175812146</v>
      </c>
      <c r="I659" s="15" t="n">
        <f aca="false">G659/D659</f>
        <v>1.23314437230118</v>
      </c>
      <c r="J659" s="16" t="n">
        <f aca="false">I659/E659</f>
        <v>0.0312780175812146</v>
      </c>
      <c r="K659" s="17" t="str">
        <f aca="false">TEXT(A659,"dddd")</f>
        <v>Sunday</v>
      </c>
      <c r="L659" s="17" t="str">
        <f aca="false">IF(AND(A659&gt;=DATE(2014,9,24),A659&lt;=DATE(2014,10,6)),"Promo 1",IF(AND(A659&gt;=DATE(2014,9,10),A659&lt;=DATE(2014,9,23)),"Baseline 1",IF(AND(A659&gt;=DATE(2015,9,23),A659&lt;=DATE(2015,10,6)),"Promo 2",IF(AND(A659&gt;=DATE(2015,9,9),A659&lt;=DATE(2015,9,22)),"Baseline 2",IF(AND(A659&gt;=DATE(2016,6,23),A659&lt;=DATE(2016,7,6)),"Promo 3",IF(AND(A659&gt;=DATE(2016,6,9),A659&lt;=DATE(2016,6,22)),"Baseline 3","Other"))))))</f>
        <v>Other</v>
      </c>
    </row>
    <row r="660" customFormat="false" ht="15" hidden="false" customHeight="true" outlineLevel="0" collapsed="false">
      <c r="A660" s="12" t="n">
        <v>42296</v>
      </c>
      <c r="B660" s="13" t="n">
        <v>55166.2262280854</v>
      </c>
      <c r="C660" s="13" t="n">
        <v>53436.8970927849</v>
      </c>
      <c r="D660" s="14" t="n">
        <v>1399</v>
      </c>
      <c r="E660" s="15" t="n">
        <f aca="false">B660/D660</f>
        <v>39.4326134582455</v>
      </c>
      <c r="F660" s="15" t="n">
        <f aca="false">C660/D660</f>
        <v>38.1964954201465</v>
      </c>
      <c r="G660" s="13" t="n">
        <f aca="false">B660-C660</f>
        <v>1729.3291353005</v>
      </c>
      <c r="H660" s="16" t="n">
        <f aca="false">G660/B660</f>
        <v>0.0313476061993178</v>
      </c>
      <c r="I660" s="15" t="n">
        <f aca="false">G660/D660</f>
        <v>1.236118038099</v>
      </c>
      <c r="J660" s="16" t="n">
        <f aca="false">I660/E660</f>
        <v>0.0313476061993178</v>
      </c>
      <c r="K660" s="17" t="str">
        <f aca="false">TEXT(A660,"dddd")</f>
        <v>Monday</v>
      </c>
      <c r="L660" s="17" t="str">
        <f aca="false">IF(AND(A660&gt;=DATE(2014,9,24),A660&lt;=DATE(2014,10,6)),"Promo 1",IF(AND(A660&gt;=DATE(2014,9,10),A660&lt;=DATE(2014,9,23)),"Baseline 1",IF(AND(A660&gt;=DATE(2015,9,23),A660&lt;=DATE(2015,10,6)),"Promo 2",IF(AND(A660&gt;=DATE(2015,9,9),A660&lt;=DATE(2015,9,22)),"Baseline 2",IF(AND(A660&gt;=DATE(2016,6,23),A660&lt;=DATE(2016,7,6)),"Promo 3",IF(AND(A660&gt;=DATE(2016,6,9),A660&lt;=DATE(2016,6,22)),"Baseline 3","Other"))))))</f>
        <v>Other</v>
      </c>
    </row>
    <row r="661" customFormat="false" ht="15" hidden="false" customHeight="true" outlineLevel="0" collapsed="false">
      <c r="A661" s="12" t="n">
        <v>42297</v>
      </c>
      <c r="B661" s="13" t="n">
        <v>42054.6804719553</v>
      </c>
      <c r="C661" s="13" t="n">
        <v>40736.1504755923</v>
      </c>
      <c r="D661" s="14" t="n">
        <v>1067</v>
      </c>
      <c r="E661" s="15" t="n">
        <f aca="false">B661/D661</f>
        <v>39.4139460843067</v>
      </c>
      <c r="F661" s="15" t="n">
        <f aca="false">C661/D661</f>
        <v>38.178210380124</v>
      </c>
      <c r="G661" s="13" t="n">
        <f aca="false">B661-C661</f>
        <v>1318.529996363</v>
      </c>
      <c r="H661" s="16" t="n">
        <f aca="false">G661/B661</f>
        <v>0.0313527526916362</v>
      </c>
      <c r="I661" s="15" t="n">
        <f aca="false">G661/D661</f>
        <v>1.23573570418275</v>
      </c>
      <c r="J661" s="16" t="n">
        <f aca="false">I661/E661</f>
        <v>0.0313527526916362</v>
      </c>
      <c r="K661" s="17" t="str">
        <f aca="false">TEXT(A661,"dddd")</f>
        <v>Tuesday</v>
      </c>
      <c r="L661" s="17" t="str">
        <f aca="false">IF(AND(A661&gt;=DATE(2014,9,24),A661&lt;=DATE(2014,10,6)),"Promo 1",IF(AND(A661&gt;=DATE(2014,9,10),A661&lt;=DATE(2014,9,23)),"Baseline 1",IF(AND(A661&gt;=DATE(2015,9,23),A661&lt;=DATE(2015,10,6)),"Promo 2",IF(AND(A661&gt;=DATE(2015,9,9),A661&lt;=DATE(2015,9,22)),"Baseline 2",IF(AND(A661&gt;=DATE(2016,6,23),A661&lt;=DATE(2016,7,6)),"Promo 3",IF(AND(A661&gt;=DATE(2016,6,9),A661&lt;=DATE(2016,6,22)),"Baseline 3","Other"))))))</f>
        <v>Other</v>
      </c>
    </row>
    <row r="662" customFormat="false" ht="15" hidden="false" customHeight="true" outlineLevel="0" collapsed="false">
      <c r="A662" s="12" t="n">
        <v>42298</v>
      </c>
      <c r="B662" s="13" t="n">
        <v>53678.1791092803</v>
      </c>
      <c r="C662" s="13" t="n">
        <v>51999.8608681956</v>
      </c>
      <c r="D662" s="14" t="n">
        <v>1361</v>
      </c>
      <c r="E662" s="15" t="n">
        <f aca="false">B662/D662</f>
        <v>39.4402491618518</v>
      </c>
      <c r="F662" s="15" t="n">
        <f aca="false">C662/D662</f>
        <v>38.2070983601731</v>
      </c>
      <c r="G662" s="13" t="n">
        <f aca="false">B662-C662</f>
        <v>1678.3182410847</v>
      </c>
      <c r="H662" s="16" t="n">
        <f aca="false">G662/B662</f>
        <v>0.0312663035321654</v>
      </c>
      <c r="I662" s="15" t="n">
        <f aca="false">G662/D662</f>
        <v>1.23315080167869</v>
      </c>
      <c r="J662" s="16" t="n">
        <f aca="false">I662/E662</f>
        <v>0.0312663035321654</v>
      </c>
      <c r="K662" s="17" t="str">
        <f aca="false">TEXT(A662,"dddd")</f>
        <v>Wednesday</v>
      </c>
      <c r="L662" s="17" t="str">
        <f aca="false">IF(AND(A662&gt;=DATE(2014,9,24),A662&lt;=DATE(2014,10,6)),"Promo 1",IF(AND(A662&gt;=DATE(2014,9,10),A662&lt;=DATE(2014,9,23)),"Baseline 1",IF(AND(A662&gt;=DATE(2015,9,23),A662&lt;=DATE(2015,10,6)),"Promo 2",IF(AND(A662&gt;=DATE(2015,9,9),A662&lt;=DATE(2015,9,22)),"Baseline 2",IF(AND(A662&gt;=DATE(2016,6,23),A662&lt;=DATE(2016,7,6)),"Promo 3",IF(AND(A662&gt;=DATE(2016,6,9),A662&lt;=DATE(2016,6,22)),"Baseline 3","Other"))))))</f>
        <v>Other</v>
      </c>
    </row>
    <row r="663" customFormat="false" ht="15" hidden="false" customHeight="true" outlineLevel="0" collapsed="false">
      <c r="A663" s="12" t="n">
        <v>42299</v>
      </c>
      <c r="B663" s="13" t="n">
        <v>55930.1686431054</v>
      </c>
      <c r="C663" s="13" t="n">
        <v>54177.6900618773</v>
      </c>
      <c r="D663" s="14" t="n">
        <v>1419</v>
      </c>
      <c r="E663" s="15" t="n">
        <f aca="false">B663/D663</f>
        <v>39.415199889433</v>
      </c>
      <c r="F663" s="15" t="n">
        <f aca="false">C663/D663</f>
        <v>38.1801903184477</v>
      </c>
      <c r="G663" s="13" t="n">
        <f aca="false">B663-C663</f>
        <v>1752.4785812281</v>
      </c>
      <c r="H663" s="16" t="n">
        <f aca="false">G663/B663</f>
        <v>0.0313333326850987</v>
      </c>
      <c r="I663" s="15" t="n">
        <f aca="false">G663/D663</f>
        <v>1.23500957098527</v>
      </c>
      <c r="J663" s="16" t="n">
        <f aca="false">I663/E663</f>
        <v>0.0313333326850987</v>
      </c>
      <c r="K663" s="17" t="str">
        <f aca="false">TEXT(A663,"dddd")</f>
        <v>Thursday</v>
      </c>
      <c r="L663" s="17" t="str">
        <f aca="false">IF(AND(A663&gt;=DATE(2014,9,24),A663&lt;=DATE(2014,10,6)),"Promo 1",IF(AND(A663&gt;=DATE(2014,9,10),A663&lt;=DATE(2014,9,23)),"Baseline 1",IF(AND(A663&gt;=DATE(2015,9,23),A663&lt;=DATE(2015,10,6)),"Promo 2",IF(AND(A663&gt;=DATE(2015,9,9),A663&lt;=DATE(2015,9,22)),"Baseline 2",IF(AND(A663&gt;=DATE(2016,6,23),A663&lt;=DATE(2016,7,6)),"Promo 3",IF(AND(A663&gt;=DATE(2016,6,9),A663&lt;=DATE(2016,6,22)),"Baseline 3","Other"))))))</f>
        <v>Other</v>
      </c>
    </row>
    <row r="664" customFormat="false" ht="15" hidden="false" customHeight="true" outlineLevel="0" collapsed="false">
      <c r="A664" s="12" t="n">
        <v>42300</v>
      </c>
      <c r="B664" s="13" t="n">
        <v>185771.001463064</v>
      </c>
      <c r="C664" s="13" t="n">
        <v>192527.011009923</v>
      </c>
      <c r="D664" s="14" t="n">
        <v>5042</v>
      </c>
      <c r="E664" s="15" t="n">
        <f aca="false">B664/D664</f>
        <v>36.8447047725236</v>
      </c>
      <c r="F664" s="15" t="n">
        <f aca="false">C664/D664</f>
        <v>38.1846511324718</v>
      </c>
      <c r="G664" s="13" t="n">
        <f aca="false">B664-C664</f>
        <v>-6756.00954685902</v>
      </c>
      <c r="H664" s="16" t="n">
        <f aca="false">G664/B664</f>
        <v>-0.0363674066116411</v>
      </c>
      <c r="I664" s="15" t="n">
        <f aca="false">G664/D664</f>
        <v>-1.33994635994824</v>
      </c>
      <c r="J664" s="16" t="n">
        <f aca="false">I664/E664</f>
        <v>-0.0363674066116411</v>
      </c>
      <c r="K664" s="17" t="str">
        <f aca="false">TEXT(A664,"dddd")</f>
        <v>Friday</v>
      </c>
      <c r="L664" s="17" t="str">
        <f aca="false">IF(AND(A664&gt;=DATE(2014,9,24),A664&lt;=DATE(2014,10,6)),"Promo 1",IF(AND(A664&gt;=DATE(2014,9,10),A664&lt;=DATE(2014,9,23)),"Baseline 1",IF(AND(A664&gt;=DATE(2015,9,23),A664&lt;=DATE(2015,10,6)),"Promo 2",IF(AND(A664&gt;=DATE(2015,9,9),A664&lt;=DATE(2015,9,22)),"Baseline 2",IF(AND(A664&gt;=DATE(2016,6,23),A664&lt;=DATE(2016,7,6)),"Promo 3",IF(AND(A664&gt;=DATE(2016,6,9),A664&lt;=DATE(2016,6,22)),"Baseline 3","Other"))))))</f>
        <v>Other</v>
      </c>
    </row>
    <row r="665" customFormat="false" ht="15" hidden="false" customHeight="true" outlineLevel="0" collapsed="false">
      <c r="A665" s="12" t="n">
        <v>42301</v>
      </c>
      <c r="B665" s="13" t="n">
        <v>253116.91319854</v>
      </c>
      <c r="C665" s="13" t="n">
        <v>262409.569422916</v>
      </c>
      <c r="D665" s="14" t="n">
        <v>6872</v>
      </c>
      <c r="E665" s="15" t="n">
        <f aca="false">B665/D665</f>
        <v>36.8330781720809</v>
      </c>
      <c r="F665" s="15" t="n">
        <f aca="false">C665/D665</f>
        <v>38.1853273316234</v>
      </c>
      <c r="G665" s="13" t="n">
        <f aca="false">B665-C665</f>
        <v>-9292.656224376</v>
      </c>
      <c r="H665" s="16" t="n">
        <f aca="false">G665/B665</f>
        <v>-0.0367129011923712</v>
      </c>
      <c r="I665" s="15" t="n">
        <f aca="false">G665/D665</f>
        <v>-1.35224915954249</v>
      </c>
      <c r="J665" s="16" t="n">
        <f aca="false">I665/E665</f>
        <v>-0.0367129011923712</v>
      </c>
      <c r="K665" s="17" t="str">
        <f aca="false">TEXT(A665,"dddd")</f>
        <v>Saturday</v>
      </c>
      <c r="L665" s="17" t="str">
        <f aca="false">IF(AND(A665&gt;=DATE(2014,9,24),A665&lt;=DATE(2014,10,6)),"Promo 1",IF(AND(A665&gt;=DATE(2014,9,10),A665&lt;=DATE(2014,9,23)),"Baseline 1",IF(AND(A665&gt;=DATE(2015,9,23),A665&lt;=DATE(2015,10,6)),"Promo 2",IF(AND(A665&gt;=DATE(2015,9,9),A665&lt;=DATE(2015,9,22)),"Baseline 2",IF(AND(A665&gt;=DATE(2016,6,23),A665&lt;=DATE(2016,7,6)),"Promo 3",IF(AND(A665&gt;=DATE(2016,6,9),A665&lt;=DATE(2016,6,22)),"Baseline 3","Other"))))))</f>
        <v>Other</v>
      </c>
    </row>
    <row r="666" customFormat="false" ht="15" hidden="false" customHeight="true" outlineLevel="0" collapsed="false">
      <c r="A666" s="12" t="n">
        <v>42302</v>
      </c>
      <c r="B666" s="13" t="n">
        <v>118618.453702153</v>
      </c>
      <c r="C666" s="13" t="n">
        <v>122915.267016988</v>
      </c>
      <c r="D666" s="14" t="n">
        <v>3218</v>
      </c>
      <c r="E666" s="15" t="n">
        <f aca="false">B666/D666</f>
        <v>36.8609240839506</v>
      </c>
      <c r="F666" s="15" t="n">
        <f aca="false">C666/D666</f>
        <v>38.1961675006178</v>
      </c>
      <c r="G666" s="13" t="n">
        <f aca="false">B666-C666</f>
        <v>-4296.813314835</v>
      </c>
      <c r="H666" s="16" t="n">
        <f aca="false">G666/B666</f>
        <v>-0.0362238183075979</v>
      </c>
      <c r="I666" s="15" t="n">
        <f aca="false">G666/D666</f>
        <v>-1.33524341666719</v>
      </c>
      <c r="J666" s="16" t="n">
        <f aca="false">I666/E666</f>
        <v>-0.0362238183075979</v>
      </c>
      <c r="K666" s="17" t="str">
        <f aca="false">TEXT(A666,"dddd")</f>
        <v>Sunday</v>
      </c>
      <c r="L666" s="17" t="str">
        <f aca="false">IF(AND(A666&gt;=DATE(2014,9,24),A666&lt;=DATE(2014,10,6)),"Promo 1",IF(AND(A666&gt;=DATE(2014,9,10),A666&lt;=DATE(2014,9,23)),"Baseline 1",IF(AND(A666&gt;=DATE(2015,9,23),A666&lt;=DATE(2015,10,6)),"Promo 2",IF(AND(A666&gt;=DATE(2015,9,9),A666&lt;=DATE(2015,9,22)),"Baseline 2",IF(AND(A666&gt;=DATE(2016,6,23),A666&lt;=DATE(2016,7,6)),"Promo 3",IF(AND(A666&gt;=DATE(2016,6,9),A666&lt;=DATE(2016,6,22)),"Baseline 3","Other"))))))</f>
        <v>Other</v>
      </c>
    </row>
    <row r="667" customFormat="false" ht="15" hidden="false" customHeight="true" outlineLevel="0" collapsed="false">
      <c r="A667" s="12" t="n">
        <v>42303</v>
      </c>
      <c r="B667" s="13" t="n">
        <v>123320.784042374</v>
      </c>
      <c r="C667" s="13" t="n">
        <v>128133.778608871</v>
      </c>
      <c r="D667" s="14" t="n">
        <v>3347</v>
      </c>
      <c r="E667" s="15" t="n">
        <f aca="false">B667/D667</f>
        <v>36.845170015648</v>
      </c>
      <c r="F667" s="15" t="n">
        <f aca="false">C667/D667</f>
        <v>38.2831725751034</v>
      </c>
      <c r="G667" s="13" t="n">
        <f aca="false">B667-C667</f>
        <v>-4812.994566497</v>
      </c>
      <c r="H667" s="16" t="n">
        <f aca="false">G667/B667</f>
        <v>-0.0390282514328097</v>
      </c>
      <c r="I667" s="15" t="n">
        <f aca="false">G667/D667</f>
        <v>-1.43800255945533</v>
      </c>
      <c r="J667" s="16" t="n">
        <f aca="false">I667/E667</f>
        <v>-0.0390282514328097</v>
      </c>
      <c r="K667" s="17" t="str">
        <f aca="false">TEXT(A667,"dddd")</f>
        <v>Monday</v>
      </c>
      <c r="L667" s="17" t="str">
        <f aca="false">IF(AND(A667&gt;=DATE(2014,9,24),A667&lt;=DATE(2014,10,6)),"Promo 1",IF(AND(A667&gt;=DATE(2014,9,10),A667&lt;=DATE(2014,9,23)),"Baseline 1",IF(AND(A667&gt;=DATE(2015,9,23),A667&lt;=DATE(2015,10,6)),"Promo 2",IF(AND(A667&gt;=DATE(2015,9,9),A667&lt;=DATE(2015,9,22)),"Baseline 2",IF(AND(A667&gt;=DATE(2016,6,23),A667&lt;=DATE(2016,7,6)),"Promo 3",IF(AND(A667&gt;=DATE(2016,6,9),A667&lt;=DATE(2016,6,22)),"Baseline 3","Other"))))))</f>
        <v>Other</v>
      </c>
    </row>
    <row r="668" customFormat="false" ht="15" hidden="false" customHeight="true" outlineLevel="0" collapsed="false">
      <c r="A668" s="12" t="n">
        <v>42304</v>
      </c>
      <c r="B668" s="13" t="n">
        <v>117051.277215403</v>
      </c>
      <c r="C668" s="13" t="n">
        <v>122175.000272702</v>
      </c>
      <c r="D668" s="14" t="n">
        <v>3177</v>
      </c>
      <c r="E668" s="15" t="n">
        <f aca="false">B668/D668</f>
        <v>36.8433356044706</v>
      </c>
      <c r="F668" s="15" t="n">
        <f aca="false">C668/D668</f>
        <v>38.4560907373944</v>
      </c>
      <c r="G668" s="13" t="n">
        <f aca="false">B668-C668</f>
        <v>-5123.72305729901</v>
      </c>
      <c r="H668" s="16" t="n">
        <f aca="false">G668/B668</f>
        <v>-0.043773320370269</v>
      </c>
      <c r="I668" s="15" t="n">
        <f aca="false">G668/D668</f>
        <v>-1.61275513292383</v>
      </c>
      <c r="J668" s="16" t="n">
        <f aca="false">I668/E668</f>
        <v>-0.043773320370269</v>
      </c>
      <c r="K668" s="17" t="str">
        <f aca="false">TEXT(A668,"dddd")</f>
        <v>Tuesday</v>
      </c>
      <c r="L668" s="17" t="str">
        <f aca="false">IF(AND(A668&gt;=DATE(2014,9,24),A668&lt;=DATE(2014,10,6)),"Promo 1",IF(AND(A668&gt;=DATE(2014,9,10),A668&lt;=DATE(2014,9,23)),"Baseline 1",IF(AND(A668&gt;=DATE(2015,9,23),A668&lt;=DATE(2015,10,6)),"Promo 2",IF(AND(A668&gt;=DATE(2015,9,9),A668&lt;=DATE(2015,9,22)),"Baseline 2",IF(AND(A668&gt;=DATE(2016,6,23),A668&lt;=DATE(2016,7,6)),"Promo 3",IF(AND(A668&gt;=DATE(2016,6,9),A668&lt;=DATE(2016,6,22)),"Baseline 3","Other"))))))</f>
        <v>Other</v>
      </c>
    </row>
    <row r="669" customFormat="false" ht="15" hidden="false" customHeight="true" outlineLevel="0" collapsed="false">
      <c r="A669" s="12" t="n">
        <v>42305</v>
      </c>
      <c r="B669" s="13" t="n">
        <v>159299.9890619</v>
      </c>
      <c r="C669" s="13" t="n">
        <v>174699.07672381</v>
      </c>
      <c r="D669" s="14" t="n">
        <v>4532</v>
      </c>
      <c r="E669" s="15" t="n">
        <f aca="false">B669/D669</f>
        <v>35.1500417171006</v>
      </c>
      <c r="F669" s="15" t="n">
        <f aca="false">C669/D669</f>
        <v>38.5478986592696</v>
      </c>
      <c r="G669" s="13" t="n">
        <f aca="false">B669-C669</f>
        <v>-15399.08766191</v>
      </c>
      <c r="H669" s="16" t="n">
        <f aca="false">G669/B669</f>
        <v>-0.096667223598655</v>
      </c>
      <c r="I669" s="15" t="n">
        <f aca="false">G669/D669</f>
        <v>-3.39785694216902</v>
      </c>
      <c r="J669" s="16" t="n">
        <f aca="false">I669/E669</f>
        <v>-0.096667223598655</v>
      </c>
      <c r="K669" s="17" t="str">
        <f aca="false">TEXT(A669,"dddd")</f>
        <v>Wednesday</v>
      </c>
      <c r="L669" s="17" t="str">
        <f aca="false">IF(AND(A669&gt;=DATE(2014,9,24),A669&lt;=DATE(2014,10,6)),"Promo 1",IF(AND(A669&gt;=DATE(2014,9,10),A669&lt;=DATE(2014,9,23)),"Baseline 1",IF(AND(A669&gt;=DATE(2015,9,23),A669&lt;=DATE(2015,10,6)),"Promo 2",IF(AND(A669&gt;=DATE(2015,9,9),A669&lt;=DATE(2015,9,22)),"Baseline 2",IF(AND(A669&gt;=DATE(2016,6,23),A669&lt;=DATE(2016,7,6)),"Promo 3",IF(AND(A669&gt;=DATE(2016,6,9),A669&lt;=DATE(2016,6,22)),"Baseline 3","Other"))))))</f>
        <v>Other</v>
      </c>
    </row>
    <row r="670" customFormat="false" ht="15" hidden="false" customHeight="true" outlineLevel="0" collapsed="false">
      <c r="A670" s="12" t="n">
        <v>42306</v>
      </c>
      <c r="B670" s="13" t="n">
        <v>119047.409867903</v>
      </c>
      <c r="C670" s="13" t="n">
        <v>124349.265489296</v>
      </c>
      <c r="D670" s="14" t="n">
        <v>3231</v>
      </c>
      <c r="E670" s="15" t="n">
        <f aca="false">B670/D670</f>
        <v>36.845376003684</v>
      </c>
      <c r="F670" s="15" t="n">
        <f aca="false">C670/D670</f>
        <v>38.4863093436385</v>
      </c>
      <c r="G670" s="13" t="n">
        <f aca="false">B670-C670</f>
        <v>-5301.855621393</v>
      </c>
      <c r="H670" s="16" t="n">
        <f aca="false">G670/B670</f>
        <v>-0.0445356654737472</v>
      </c>
      <c r="I670" s="15" t="n">
        <f aca="false">G670/D670</f>
        <v>-1.6409333399545</v>
      </c>
      <c r="J670" s="16" t="n">
        <f aca="false">I670/E670</f>
        <v>-0.0445356654737472</v>
      </c>
      <c r="K670" s="17" t="str">
        <f aca="false">TEXT(A670,"dddd")</f>
        <v>Thursday</v>
      </c>
      <c r="L670" s="17" t="str">
        <f aca="false">IF(AND(A670&gt;=DATE(2014,9,24),A670&lt;=DATE(2014,10,6)),"Promo 1",IF(AND(A670&gt;=DATE(2014,9,10),A670&lt;=DATE(2014,9,23)),"Baseline 1",IF(AND(A670&gt;=DATE(2015,9,23),A670&lt;=DATE(2015,10,6)),"Promo 2",IF(AND(A670&gt;=DATE(2015,9,9),A670&lt;=DATE(2015,9,22)),"Baseline 2",IF(AND(A670&gt;=DATE(2016,6,23),A670&lt;=DATE(2016,7,6)),"Promo 3",IF(AND(A670&gt;=DATE(2016,6,9),A670&lt;=DATE(2016,6,22)),"Baseline 3","Other"))))))</f>
        <v>Other</v>
      </c>
    </row>
    <row r="671" customFormat="false" ht="15" hidden="false" customHeight="true" outlineLevel="0" collapsed="false">
      <c r="A671" s="12" t="n">
        <v>42307</v>
      </c>
      <c r="B671" s="13" t="n">
        <v>285081.974328435</v>
      </c>
      <c r="C671" s="13" t="n">
        <v>297627.690715406</v>
      </c>
      <c r="D671" s="14" t="n">
        <v>7731</v>
      </c>
      <c r="E671" s="15" t="n">
        <f aca="false">B671/D671</f>
        <v>36.8751745347866</v>
      </c>
      <c r="F671" s="15" t="n">
        <f aca="false">C671/D671</f>
        <v>38.4979550789556</v>
      </c>
      <c r="G671" s="13" t="n">
        <f aca="false">B671-C671</f>
        <v>-12545.7163869709</v>
      </c>
      <c r="H671" s="16" t="n">
        <f aca="false">G671/B671</f>
        <v>-0.0440073996839848</v>
      </c>
      <c r="I671" s="15" t="n">
        <f aca="false">G671/D671</f>
        <v>-1.62278054416905</v>
      </c>
      <c r="J671" s="16" t="n">
        <f aca="false">I671/E671</f>
        <v>-0.0440073996839849</v>
      </c>
      <c r="K671" s="17" t="str">
        <f aca="false">TEXT(A671,"dddd")</f>
        <v>Friday</v>
      </c>
      <c r="L671" s="17" t="str">
        <f aca="false">IF(AND(A671&gt;=DATE(2014,9,24),A671&lt;=DATE(2014,10,6)),"Promo 1",IF(AND(A671&gt;=DATE(2014,9,10),A671&lt;=DATE(2014,9,23)),"Baseline 1",IF(AND(A671&gt;=DATE(2015,9,23),A671&lt;=DATE(2015,10,6)),"Promo 2",IF(AND(A671&gt;=DATE(2015,9,9),A671&lt;=DATE(2015,9,22)),"Baseline 2",IF(AND(A671&gt;=DATE(2016,6,23),A671&lt;=DATE(2016,7,6)),"Promo 3",IF(AND(A671&gt;=DATE(2016,6,9),A671&lt;=DATE(2016,6,22)),"Baseline 3","Other"))))))</f>
        <v>Other</v>
      </c>
    </row>
    <row r="672" customFormat="false" ht="15" hidden="false" customHeight="true" outlineLevel="0" collapsed="false">
      <c r="A672" s="12" t="n">
        <v>42308</v>
      </c>
      <c r="B672" s="13" t="n">
        <v>391656.212583571</v>
      </c>
      <c r="C672" s="13" t="n">
        <v>429832.834760806</v>
      </c>
      <c r="D672" s="14" t="n">
        <v>11148</v>
      </c>
      <c r="E672" s="15" t="n">
        <f aca="false">B672/D672</f>
        <v>35.1324194997821</v>
      </c>
      <c r="F672" s="15" t="n">
        <f aca="false">C672/D672</f>
        <v>38.5569460675283</v>
      </c>
      <c r="G672" s="13" t="n">
        <f aca="false">B672-C672</f>
        <v>-38176.622177235</v>
      </c>
      <c r="H672" s="16" t="n">
        <f aca="false">G672/B672</f>
        <v>-0.0974748285630448</v>
      </c>
      <c r="I672" s="15" t="n">
        <f aca="false">G672/D672</f>
        <v>-3.42452656774623</v>
      </c>
      <c r="J672" s="16" t="n">
        <f aca="false">I672/E672</f>
        <v>-0.0974748285630448</v>
      </c>
      <c r="K672" s="17" t="str">
        <f aca="false">TEXT(A672,"dddd")</f>
        <v>Saturday</v>
      </c>
      <c r="L672" s="17" t="str">
        <f aca="false">IF(AND(A672&gt;=DATE(2014,9,24),A672&lt;=DATE(2014,10,6)),"Promo 1",IF(AND(A672&gt;=DATE(2014,9,10),A672&lt;=DATE(2014,9,23)),"Baseline 1",IF(AND(A672&gt;=DATE(2015,9,23),A672&lt;=DATE(2015,10,6)),"Promo 2",IF(AND(A672&gt;=DATE(2015,9,9),A672&lt;=DATE(2015,9,22)),"Baseline 2",IF(AND(A672&gt;=DATE(2016,6,23),A672&lt;=DATE(2016,7,6)),"Promo 3",IF(AND(A672&gt;=DATE(2016,6,9),A672&lt;=DATE(2016,6,22)),"Baseline 3","Other"))))))</f>
        <v>Other</v>
      </c>
    </row>
    <row r="673" customFormat="false" ht="15" hidden="false" customHeight="true" outlineLevel="0" collapsed="false">
      <c r="A673" s="12" t="n">
        <v>42309</v>
      </c>
      <c r="B673" s="13" t="n">
        <v>274814.77805485</v>
      </c>
      <c r="C673" s="13" t="n">
        <v>287978.174911817</v>
      </c>
      <c r="D673" s="14" t="n">
        <v>7459</v>
      </c>
      <c r="E673" s="15" t="n">
        <f aca="false">B673/D673</f>
        <v>36.8433808895093</v>
      </c>
      <c r="F673" s="15" t="n">
        <f aca="false">C673/D673</f>
        <v>38.6081478632279</v>
      </c>
      <c r="G673" s="13" t="n">
        <f aca="false">B673-C673</f>
        <v>-13163.396856967</v>
      </c>
      <c r="H673" s="16" t="n">
        <f aca="false">G673/B673</f>
        <v>-0.0478991593906924</v>
      </c>
      <c r="I673" s="15" t="n">
        <f aca="false">G673/D673</f>
        <v>-1.7647669737186</v>
      </c>
      <c r="J673" s="16" t="n">
        <f aca="false">I673/E673</f>
        <v>-0.0478991593906924</v>
      </c>
      <c r="K673" s="17" t="str">
        <f aca="false">TEXT(A673,"dddd")</f>
        <v>Sunday</v>
      </c>
      <c r="L673" s="17" t="str">
        <f aca="false">IF(AND(A673&gt;=DATE(2014,9,24),A673&lt;=DATE(2014,10,6)),"Promo 1",IF(AND(A673&gt;=DATE(2014,9,10),A673&lt;=DATE(2014,9,23)),"Baseline 1",IF(AND(A673&gt;=DATE(2015,9,23),A673&lt;=DATE(2015,10,6)),"Promo 2",IF(AND(A673&gt;=DATE(2015,9,9),A673&lt;=DATE(2015,9,22)),"Baseline 2",IF(AND(A673&gt;=DATE(2016,6,23),A673&lt;=DATE(2016,7,6)),"Promo 3",IF(AND(A673&gt;=DATE(2016,6,9),A673&lt;=DATE(2016,6,22)),"Baseline 3","Other"))))))</f>
        <v>Other</v>
      </c>
    </row>
    <row r="674" customFormat="false" ht="15" hidden="false" customHeight="true" outlineLevel="0" collapsed="false">
      <c r="A674" s="12" t="n">
        <v>42310</v>
      </c>
      <c r="B674" s="13" t="n">
        <v>269555.023120968</v>
      </c>
      <c r="C674" s="13" t="n">
        <v>281915.192104629</v>
      </c>
      <c r="D674" s="14" t="n">
        <v>7316</v>
      </c>
      <c r="E674" s="15" t="n">
        <f aca="false">B674/D674</f>
        <v>36.8445903664527</v>
      </c>
      <c r="F674" s="15" t="n">
        <f aca="false">C674/D674</f>
        <v>38.5340612499493</v>
      </c>
      <c r="G674" s="13" t="n">
        <f aca="false">B674-C674</f>
        <v>-12360.168983661</v>
      </c>
      <c r="H674" s="16" t="n">
        <f aca="false">G674/B674</f>
        <v>-0.045853973858666</v>
      </c>
      <c r="I674" s="15" t="n">
        <f aca="false">G674/D674</f>
        <v>-1.68947088349658</v>
      </c>
      <c r="J674" s="16" t="n">
        <f aca="false">I674/E674</f>
        <v>-0.045853973858666</v>
      </c>
      <c r="K674" s="17" t="str">
        <f aca="false">TEXT(A674,"dddd")</f>
        <v>Monday</v>
      </c>
      <c r="L674" s="17" t="str">
        <f aca="false">IF(AND(A674&gt;=DATE(2014,9,24),A674&lt;=DATE(2014,10,6)),"Promo 1",IF(AND(A674&gt;=DATE(2014,9,10),A674&lt;=DATE(2014,9,23)),"Baseline 1",IF(AND(A674&gt;=DATE(2015,9,23),A674&lt;=DATE(2015,10,6)),"Promo 2",IF(AND(A674&gt;=DATE(2015,9,9),A674&lt;=DATE(2015,9,22)),"Baseline 2",IF(AND(A674&gt;=DATE(2016,6,23),A674&lt;=DATE(2016,7,6)),"Promo 3",IF(AND(A674&gt;=DATE(2016,6,9),A674&lt;=DATE(2016,6,22)),"Baseline 3","Other"))))))</f>
        <v>Other</v>
      </c>
    </row>
    <row r="675" customFormat="false" ht="15" hidden="false" customHeight="true" outlineLevel="0" collapsed="false">
      <c r="A675" s="12" t="n">
        <v>42311</v>
      </c>
      <c r="B675" s="13" t="n">
        <v>192001.034615149</v>
      </c>
      <c r="C675" s="13" t="n">
        <v>201125.775474684</v>
      </c>
      <c r="D675" s="14" t="n">
        <v>5211</v>
      </c>
      <c r="E675" s="15" t="n">
        <f aca="false">B675/D675</f>
        <v>36.845333835185</v>
      </c>
      <c r="F675" s="15" t="n">
        <f aca="false">C675/D675</f>
        <v>38.5963875407185</v>
      </c>
      <c r="G675" s="13" t="n">
        <f aca="false">B675-C675</f>
        <v>-9124.740859535</v>
      </c>
      <c r="H675" s="16" t="n">
        <f aca="false">G675/B675</f>
        <v>-0.0475244358855921</v>
      </c>
      <c r="I675" s="15" t="n">
        <f aca="false">G675/D675</f>
        <v>-1.75105370553349</v>
      </c>
      <c r="J675" s="16" t="n">
        <f aca="false">I675/E675</f>
        <v>-0.0475244358855921</v>
      </c>
      <c r="K675" s="17" t="str">
        <f aca="false">TEXT(A675,"dddd")</f>
        <v>Tuesday</v>
      </c>
      <c r="L675" s="17" t="str">
        <f aca="false">IF(AND(A675&gt;=DATE(2014,9,24),A675&lt;=DATE(2014,10,6)),"Promo 1",IF(AND(A675&gt;=DATE(2014,9,10),A675&lt;=DATE(2014,9,23)),"Baseline 1",IF(AND(A675&gt;=DATE(2015,9,23),A675&lt;=DATE(2015,10,6)),"Promo 2",IF(AND(A675&gt;=DATE(2015,9,9),A675&lt;=DATE(2015,9,22)),"Baseline 2",IF(AND(A675&gt;=DATE(2016,6,23),A675&lt;=DATE(2016,7,6)),"Promo 3",IF(AND(A675&gt;=DATE(2016,6,9),A675&lt;=DATE(2016,6,22)),"Baseline 3","Other"))))))</f>
        <v>Other</v>
      </c>
    </row>
    <row r="676" customFormat="false" ht="15" hidden="false" customHeight="true" outlineLevel="0" collapsed="false">
      <c r="A676" s="12" t="n">
        <v>42312</v>
      </c>
      <c r="B676" s="13" t="n">
        <v>201367.786977001</v>
      </c>
      <c r="C676" s="13" t="n">
        <v>220579.995560677</v>
      </c>
      <c r="D676" s="14" t="n">
        <v>5731</v>
      </c>
      <c r="E676" s="15" t="n">
        <f aca="false">B676/D676</f>
        <v>35.1365882004887</v>
      </c>
      <c r="F676" s="15" t="n">
        <f aca="false">C676/D676</f>
        <v>38.4889191346496</v>
      </c>
      <c r="G676" s="13" t="n">
        <f aca="false">B676-C676</f>
        <v>-19212.208583676</v>
      </c>
      <c r="H676" s="16" t="n">
        <f aca="false">G676/B676</f>
        <v>-0.095408550057067</v>
      </c>
      <c r="I676" s="15" t="n">
        <f aca="false">G676/D676</f>
        <v>-3.35233093416088</v>
      </c>
      <c r="J676" s="16" t="n">
        <f aca="false">I676/E676</f>
        <v>-0.0954085500570669</v>
      </c>
      <c r="K676" s="17" t="str">
        <f aca="false">TEXT(A676,"dddd")</f>
        <v>Wednesday</v>
      </c>
      <c r="L676" s="17" t="str">
        <f aca="false">IF(AND(A676&gt;=DATE(2014,9,24),A676&lt;=DATE(2014,10,6)),"Promo 1",IF(AND(A676&gt;=DATE(2014,9,10),A676&lt;=DATE(2014,9,23)),"Baseline 1",IF(AND(A676&gt;=DATE(2015,9,23),A676&lt;=DATE(2015,10,6)),"Promo 2",IF(AND(A676&gt;=DATE(2015,9,9),A676&lt;=DATE(2015,9,22)),"Baseline 2",IF(AND(A676&gt;=DATE(2016,6,23),A676&lt;=DATE(2016,7,6)),"Promo 3",IF(AND(A676&gt;=DATE(2016,6,9),A676&lt;=DATE(2016,6,22)),"Baseline 3","Other"))))))</f>
        <v>Other</v>
      </c>
    </row>
    <row r="677" customFormat="false" ht="15" hidden="false" customHeight="true" outlineLevel="0" collapsed="false">
      <c r="A677" s="12" t="n">
        <v>42313</v>
      </c>
      <c r="B677" s="13" t="n">
        <v>111874.558972953</v>
      </c>
      <c r="C677" s="13" t="n">
        <v>116637.034345283</v>
      </c>
      <c r="D677" s="14" t="n">
        <v>3036</v>
      </c>
      <c r="E677" s="15" t="n">
        <f aca="false">B677/D677</f>
        <v>36.8493277249516</v>
      </c>
      <c r="F677" s="15" t="n">
        <f aca="false">C677/D677</f>
        <v>38.4179955023989</v>
      </c>
      <c r="G677" s="13" t="n">
        <f aca="false">B677-C677</f>
        <v>-4762.47537233</v>
      </c>
      <c r="H677" s="16" t="n">
        <f aca="false">G677/B677</f>
        <v>-0.0425697800827209</v>
      </c>
      <c r="I677" s="15" t="n">
        <f aca="false">G677/D677</f>
        <v>-1.5686677774473</v>
      </c>
      <c r="J677" s="16" t="n">
        <f aca="false">I677/E677</f>
        <v>-0.0425697800827209</v>
      </c>
      <c r="K677" s="17" t="str">
        <f aca="false">TEXT(A677,"dddd")</f>
        <v>Thursday</v>
      </c>
      <c r="L677" s="17" t="str">
        <f aca="false">IF(AND(A677&gt;=DATE(2014,9,24),A677&lt;=DATE(2014,10,6)),"Promo 1",IF(AND(A677&gt;=DATE(2014,9,10),A677&lt;=DATE(2014,9,23)),"Baseline 1",IF(AND(A677&gt;=DATE(2015,9,23),A677&lt;=DATE(2015,10,6)),"Promo 2",IF(AND(A677&gt;=DATE(2015,9,9),A677&lt;=DATE(2015,9,22)),"Baseline 2",IF(AND(A677&gt;=DATE(2016,6,23),A677&lt;=DATE(2016,7,6)),"Promo 3",IF(AND(A677&gt;=DATE(2016,6,9),A677&lt;=DATE(2016,6,22)),"Baseline 3","Other"))))))</f>
        <v>Other</v>
      </c>
    </row>
    <row r="678" customFormat="false" ht="15" hidden="false" customHeight="true" outlineLevel="0" collapsed="false">
      <c r="A678" s="12" t="n">
        <v>42314</v>
      </c>
      <c r="B678" s="13" t="n">
        <v>214540.333090848</v>
      </c>
      <c r="C678" s="13" t="n">
        <v>223738.432718631</v>
      </c>
      <c r="D678" s="14" t="n">
        <v>5822</v>
      </c>
      <c r="E678" s="15" t="n">
        <f aca="false">B678/D678</f>
        <v>36.8499369788471</v>
      </c>
      <c r="F678" s="15" t="n">
        <f aca="false">C678/D678</f>
        <v>38.4298235518088</v>
      </c>
      <c r="G678" s="13" t="n">
        <f aca="false">B678-C678</f>
        <v>-9198.099627783</v>
      </c>
      <c r="H678" s="16" t="n">
        <f aca="false">G678/B678</f>
        <v>-0.0428735217069325</v>
      </c>
      <c r="I678" s="15" t="n">
        <f aca="false">G678/D678</f>
        <v>-1.5798865729617</v>
      </c>
      <c r="J678" s="16" t="n">
        <f aca="false">I678/E678</f>
        <v>-0.0428735217069325</v>
      </c>
      <c r="K678" s="17" t="str">
        <f aca="false">TEXT(A678,"dddd")</f>
        <v>Friday</v>
      </c>
      <c r="L678" s="17" t="str">
        <f aca="false">IF(AND(A678&gt;=DATE(2014,9,24),A678&lt;=DATE(2014,10,6)),"Promo 1",IF(AND(A678&gt;=DATE(2014,9,10),A678&lt;=DATE(2014,9,23)),"Baseline 1",IF(AND(A678&gt;=DATE(2015,9,23),A678&lt;=DATE(2015,10,6)),"Promo 2",IF(AND(A678&gt;=DATE(2015,9,9),A678&lt;=DATE(2015,9,22)),"Baseline 2",IF(AND(A678&gt;=DATE(2016,6,23),A678&lt;=DATE(2016,7,6)),"Promo 3",IF(AND(A678&gt;=DATE(2016,6,9),A678&lt;=DATE(2016,6,22)),"Baseline 3","Other"))))))</f>
        <v>Other</v>
      </c>
    </row>
    <row r="679" customFormat="false" ht="15" hidden="false" customHeight="true" outlineLevel="0" collapsed="false">
      <c r="A679" s="12" t="n">
        <v>42315</v>
      </c>
      <c r="B679" s="13" t="n">
        <v>280264.244465276</v>
      </c>
      <c r="C679" s="13" t="n">
        <v>306935.160395814</v>
      </c>
      <c r="D679" s="14" t="n">
        <v>7987</v>
      </c>
      <c r="E679" s="15" t="n">
        <f aca="false">B679/D679</f>
        <v>35.0900518924848</v>
      </c>
      <c r="F679" s="15" t="n">
        <f aca="false">C679/D679</f>
        <v>38.4293427314153</v>
      </c>
      <c r="G679" s="13" t="n">
        <f aca="false">B679-C679</f>
        <v>-26670.915930538</v>
      </c>
      <c r="H679" s="16" t="n">
        <f aca="false">G679/B679</f>
        <v>-0.095163462543801</v>
      </c>
      <c r="I679" s="15" t="n">
        <f aca="false">G679/D679</f>
        <v>-3.33929083893051</v>
      </c>
      <c r="J679" s="16" t="n">
        <f aca="false">I679/E679</f>
        <v>-0.095163462543801</v>
      </c>
      <c r="K679" s="17" t="str">
        <f aca="false">TEXT(A679,"dddd")</f>
        <v>Saturday</v>
      </c>
      <c r="L679" s="17" t="str">
        <f aca="false">IF(AND(A679&gt;=DATE(2014,9,24),A679&lt;=DATE(2014,10,6)),"Promo 1",IF(AND(A679&gt;=DATE(2014,9,10),A679&lt;=DATE(2014,9,23)),"Baseline 1",IF(AND(A679&gt;=DATE(2015,9,23),A679&lt;=DATE(2015,10,6)),"Promo 2",IF(AND(A679&gt;=DATE(2015,9,9),A679&lt;=DATE(2015,9,22)),"Baseline 2",IF(AND(A679&gt;=DATE(2016,6,23),A679&lt;=DATE(2016,7,6)),"Promo 3",IF(AND(A679&gt;=DATE(2016,6,9),A679&lt;=DATE(2016,6,22)),"Baseline 3","Other"))))))</f>
        <v>Other</v>
      </c>
    </row>
    <row r="680" customFormat="false" ht="15" hidden="false" customHeight="true" outlineLevel="0" collapsed="false">
      <c r="A680" s="12" t="n">
        <v>42316</v>
      </c>
      <c r="B680" s="13" t="n">
        <v>134136.72870995</v>
      </c>
      <c r="C680" s="13" t="n">
        <v>140236.303300135</v>
      </c>
      <c r="D680" s="14" t="n">
        <v>3640</v>
      </c>
      <c r="E680" s="15" t="n">
        <f aca="false">B680/D680</f>
        <v>36.8507496455907</v>
      </c>
      <c r="F680" s="15" t="n">
        <f aca="false">C680/D680</f>
        <v>38.5264569505865</v>
      </c>
      <c r="G680" s="13" t="n">
        <f aca="false">B680-C680</f>
        <v>-6099.57459018502</v>
      </c>
      <c r="H680" s="16" t="n">
        <f aca="false">G680/B680</f>
        <v>-0.045472814559049</v>
      </c>
      <c r="I680" s="15" t="n">
        <f aca="false">G680/D680</f>
        <v>-1.67570730499588</v>
      </c>
      <c r="J680" s="16" t="n">
        <f aca="false">I680/E680</f>
        <v>-0.045472814559049</v>
      </c>
      <c r="K680" s="17" t="str">
        <f aca="false">TEXT(A680,"dddd")</f>
        <v>Sunday</v>
      </c>
      <c r="L680" s="17" t="str">
        <f aca="false">IF(AND(A680&gt;=DATE(2014,9,24),A680&lt;=DATE(2014,10,6)),"Promo 1",IF(AND(A680&gt;=DATE(2014,9,10),A680&lt;=DATE(2014,9,23)),"Baseline 1",IF(AND(A680&gt;=DATE(2015,9,23),A680&lt;=DATE(2015,10,6)),"Promo 2",IF(AND(A680&gt;=DATE(2015,9,9),A680&lt;=DATE(2015,9,22)),"Baseline 2",IF(AND(A680&gt;=DATE(2016,6,23),A680&lt;=DATE(2016,7,6)),"Promo 3",IF(AND(A680&gt;=DATE(2016,6,9),A680&lt;=DATE(2016,6,22)),"Baseline 3","Other"))))))</f>
        <v>Other</v>
      </c>
    </row>
    <row r="681" customFormat="false" ht="15" hidden="false" customHeight="true" outlineLevel="0" collapsed="false">
      <c r="A681" s="12" t="n">
        <v>42317</v>
      </c>
      <c r="B681" s="13" t="n">
        <v>94243.4655279336</v>
      </c>
      <c r="C681" s="13" t="n">
        <v>89949.3041718773</v>
      </c>
      <c r="D681" s="14" t="n">
        <v>2338</v>
      </c>
      <c r="E681" s="15" t="n">
        <f aca="false">B681/D681</f>
        <v>40.3094377792702</v>
      </c>
      <c r="F681" s="15" t="n">
        <f aca="false">C681/D681</f>
        <v>38.4727562753966</v>
      </c>
      <c r="G681" s="13" t="n">
        <f aca="false">B681-C681</f>
        <v>4294.1613560563</v>
      </c>
      <c r="H681" s="16" t="n">
        <f aca="false">G681/B681</f>
        <v>0.0455645527464556</v>
      </c>
      <c r="I681" s="15" t="n">
        <f aca="false">G681/D681</f>
        <v>1.83668150387352</v>
      </c>
      <c r="J681" s="16" t="n">
        <f aca="false">I681/E681</f>
        <v>0.0455645527464556</v>
      </c>
      <c r="K681" s="17" t="str">
        <f aca="false">TEXT(A681,"dddd")</f>
        <v>Monday</v>
      </c>
      <c r="L681" s="17" t="str">
        <f aca="false">IF(AND(A681&gt;=DATE(2014,9,24),A681&lt;=DATE(2014,10,6)),"Promo 1",IF(AND(A681&gt;=DATE(2014,9,10),A681&lt;=DATE(2014,9,23)),"Baseline 1",IF(AND(A681&gt;=DATE(2015,9,23),A681&lt;=DATE(2015,10,6)),"Promo 2",IF(AND(A681&gt;=DATE(2015,9,9),A681&lt;=DATE(2015,9,22)),"Baseline 2",IF(AND(A681&gt;=DATE(2016,6,23),A681&lt;=DATE(2016,7,6)),"Promo 3",IF(AND(A681&gt;=DATE(2016,6,9),A681&lt;=DATE(2016,6,22)),"Baseline 3","Other"))))))</f>
        <v>Other</v>
      </c>
    </row>
    <row r="682" customFormat="false" ht="15" hidden="false" customHeight="true" outlineLevel="0" collapsed="false">
      <c r="A682" s="12" t="n">
        <v>42318</v>
      </c>
      <c r="B682" s="13" t="n">
        <v>131436.197854736</v>
      </c>
      <c r="C682" s="13" t="n">
        <v>143823.386440638</v>
      </c>
      <c r="D682" s="14" t="n">
        <v>3744</v>
      </c>
      <c r="E682" s="15" t="n">
        <f aca="false">B682/D682</f>
        <v>35.1058220765855</v>
      </c>
      <c r="F682" s="15" t="n">
        <f aca="false">C682/D682</f>
        <v>38.4143660364952</v>
      </c>
      <c r="G682" s="13" t="n">
        <f aca="false">B682-C682</f>
        <v>-12387.188585902</v>
      </c>
      <c r="H682" s="16" t="n">
        <f aca="false">G682/B682</f>
        <v>-0.0942448791739424</v>
      </c>
      <c r="I682" s="15" t="n">
        <f aca="false">G682/D682</f>
        <v>-3.30854395990972</v>
      </c>
      <c r="J682" s="16" t="n">
        <f aca="false">I682/E682</f>
        <v>-0.0942448791739424</v>
      </c>
      <c r="K682" s="17" t="str">
        <f aca="false">TEXT(A682,"dddd")</f>
        <v>Tuesday</v>
      </c>
      <c r="L682" s="17" t="str">
        <f aca="false">IF(AND(A682&gt;=DATE(2014,9,24),A682&lt;=DATE(2014,10,6)),"Promo 1",IF(AND(A682&gt;=DATE(2014,9,10),A682&lt;=DATE(2014,9,23)),"Baseline 1",IF(AND(A682&gt;=DATE(2015,9,23),A682&lt;=DATE(2015,10,6)),"Promo 2",IF(AND(A682&gt;=DATE(2015,9,9),A682&lt;=DATE(2015,9,22)),"Baseline 2",IF(AND(A682&gt;=DATE(2016,6,23),A682&lt;=DATE(2016,7,6)),"Promo 3",IF(AND(A682&gt;=DATE(2016,6,9),A682&lt;=DATE(2016,6,22)),"Baseline 3","Other"))))))</f>
        <v>Other</v>
      </c>
    </row>
    <row r="683" customFormat="false" ht="15" hidden="false" customHeight="true" outlineLevel="0" collapsed="false">
      <c r="A683" s="12" t="n">
        <v>42319</v>
      </c>
      <c r="B683" s="13" t="n">
        <v>147893.941470976</v>
      </c>
      <c r="C683" s="13" t="n">
        <v>161665.600554416</v>
      </c>
      <c r="D683" s="14" t="n">
        <v>4216</v>
      </c>
      <c r="E683" s="15" t="n">
        <f aca="false">B683/D683</f>
        <v>35.0792081287894</v>
      </c>
      <c r="F683" s="15" t="n">
        <f aca="false">C683/D683</f>
        <v>38.3457306817875</v>
      </c>
      <c r="G683" s="13" t="n">
        <f aca="false">B683-C683</f>
        <v>-13771.65908344</v>
      </c>
      <c r="H683" s="16" t="n">
        <f aca="false">G683/B683</f>
        <v>-0.0931184803546716</v>
      </c>
      <c r="I683" s="15" t="n">
        <f aca="false">G683/D683</f>
        <v>-3.26652255299811</v>
      </c>
      <c r="J683" s="16" t="n">
        <f aca="false">I683/E683</f>
        <v>-0.0931184803546716</v>
      </c>
      <c r="K683" s="17" t="str">
        <f aca="false">TEXT(A683,"dddd")</f>
        <v>Wednesday</v>
      </c>
      <c r="L683" s="17" t="str">
        <f aca="false">IF(AND(A683&gt;=DATE(2014,9,24),A683&lt;=DATE(2014,10,6)),"Promo 1",IF(AND(A683&gt;=DATE(2014,9,10),A683&lt;=DATE(2014,9,23)),"Baseline 1",IF(AND(A683&gt;=DATE(2015,9,23),A683&lt;=DATE(2015,10,6)),"Promo 2",IF(AND(A683&gt;=DATE(2015,9,9),A683&lt;=DATE(2015,9,22)),"Baseline 2",IF(AND(A683&gt;=DATE(2016,6,23),A683&lt;=DATE(2016,7,6)),"Promo 3",IF(AND(A683&gt;=DATE(2016,6,9),A683&lt;=DATE(2016,6,22)),"Baseline 3","Other"))))))</f>
        <v>Other</v>
      </c>
    </row>
    <row r="684" customFormat="false" ht="15" hidden="false" customHeight="true" outlineLevel="0" collapsed="false">
      <c r="A684" s="12" t="n">
        <v>42320</v>
      </c>
      <c r="B684" s="13" t="n">
        <v>140238.390510471</v>
      </c>
      <c r="C684" s="13" t="n">
        <v>153481.453397303</v>
      </c>
      <c r="D684" s="14" t="n">
        <v>4000</v>
      </c>
      <c r="E684" s="15" t="n">
        <f aca="false">B684/D684</f>
        <v>35.0595976276178</v>
      </c>
      <c r="F684" s="15" t="n">
        <f aca="false">C684/D684</f>
        <v>38.3703633493258</v>
      </c>
      <c r="G684" s="13" t="n">
        <f aca="false">B684-C684</f>
        <v>-13243.062886832</v>
      </c>
      <c r="H684" s="16" t="n">
        <f aca="false">G684/B684</f>
        <v>-0.0944325076651759</v>
      </c>
      <c r="I684" s="15" t="n">
        <f aca="false">G684/D684</f>
        <v>-3.310765721708</v>
      </c>
      <c r="J684" s="16" t="n">
        <f aca="false">I684/E684</f>
        <v>-0.0944325076651759</v>
      </c>
      <c r="K684" s="17" t="str">
        <f aca="false">TEXT(A684,"dddd")</f>
        <v>Thursday</v>
      </c>
      <c r="L684" s="17" t="str">
        <f aca="false">IF(AND(A684&gt;=DATE(2014,9,24),A684&lt;=DATE(2014,10,6)),"Promo 1",IF(AND(A684&gt;=DATE(2014,9,10),A684&lt;=DATE(2014,9,23)),"Baseline 1",IF(AND(A684&gt;=DATE(2015,9,23),A684&lt;=DATE(2015,10,6)),"Promo 2",IF(AND(A684&gt;=DATE(2015,9,9),A684&lt;=DATE(2015,9,22)),"Baseline 2",IF(AND(A684&gt;=DATE(2016,6,23),A684&lt;=DATE(2016,7,6)),"Promo 3",IF(AND(A684&gt;=DATE(2016,6,9),A684&lt;=DATE(2016,6,22)),"Baseline 3","Other"))))))</f>
        <v>Other</v>
      </c>
    </row>
    <row r="685" customFormat="false" ht="15" hidden="false" customHeight="true" outlineLevel="0" collapsed="false">
      <c r="A685" s="12" t="n">
        <v>42321</v>
      </c>
      <c r="B685" s="13" t="n">
        <v>358183.774004685</v>
      </c>
      <c r="C685" s="13" t="n">
        <v>391310.320684937</v>
      </c>
      <c r="D685" s="14" t="n">
        <v>10204</v>
      </c>
      <c r="E685" s="15" t="n">
        <f aca="false">B685/D685</f>
        <v>35.1022906707845</v>
      </c>
      <c r="F685" s="15" t="n">
        <f aca="false">C685/D685</f>
        <v>38.3487182168696</v>
      </c>
      <c r="G685" s="13" t="n">
        <f aca="false">B685-C685</f>
        <v>-33126.546680252</v>
      </c>
      <c r="H685" s="16" t="n">
        <f aca="false">G685/B685</f>
        <v>-0.092484777604188</v>
      </c>
      <c r="I685" s="15" t="n">
        <f aca="false">G685/D685</f>
        <v>-3.24642754608507</v>
      </c>
      <c r="J685" s="16" t="n">
        <f aca="false">I685/E685</f>
        <v>-0.092484777604188</v>
      </c>
      <c r="K685" s="17" t="str">
        <f aca="false">TEXT(A685,"dddd")</f>
        <v>Friday</v>
      </c>
      <c r="L685" s="17" t="str">
        <f aca="false">IF(AND(A685&gt;=DATE(2014,9,24),A685&lt;=DATE(2014,10,6)),"Promo 1",IF(AND(A685&gt;=DATE(2014,9,10),A685&lt;=DATE(2014,9,23)),"Baseline 1",IF(AND(A685&gt;=DATE(2015,9,23),A685&lt;=DATE(2015,10,6)),"Promo 2",IF(AND(A685&gt;=DATE(2015,9,9),A685&lt;=DATE(2015,9,22)),"Baseline 2",IF(AND(A685&gt;=DATE(2016,6,23),A685&lt;=DATE(2016,7,6)),"Promo 3",IF(AND(A685&gt;=DATE(2016,6,9),A685&lt;=DATE(2016,6,22)),"Baseline 3","Other"))))))</f>
        <v>Other</v>
      </c>
    </row>
    <row r="686" customFormat="false" ht="15" hidden="false" customHeight="true" outlineLevel="0" collapsed="false">
      <c r="A686" s="12" t="n">
        <v>42322</v>
      </c>
      <c r="B686" s="13" t="n">
        <v>377937.138697473</v>
      </c>
      <c r="C686" s="13" t="n">
        <v>413010.22904513</v>
      </c>
      <c r="D686" s="14" t="n">
        <v>10769</v>
      </c>
      <c r="E686" s="15" t="n">
        <f aca="false">B686/D686</f>
        <v>35.0949149129421</v>
      </c>
      <c r="F686" s="15" t="n">
        <f aca="false">C686/D686</f>
        <v>38.3517716635834</v>
      </c>
      <c r="G686" s="13" t="n">
        <f aca="false">B686-C686</f>
        <v>-35073.090347657</v>
      </c>
      <c r="H686" s="16" t="n">
        <f aca="false">G686/B686</f>
        <v>-0.0928013861472661</v>
      </c>
      <c r="I686" s="15" t="n">
        <f aca="false">G686/D686</f>
        <v>-3.25685675064138</v>
      </c>
      <c r="J686" s="16" t="n">
        <f aca="false">I686/E686</f>
        <v>-0.0928013861472661</v>
      </c>
      <c r="K686" s="17" t="str">
        <f aca="false">TEXT(A686,"dddd")</f>
        <v>Saturday</v>
      </c>
      <c r="L686" s="17" t="str">
        <f aca="false">IF(AND(A686&gt;=DATE(2014,9,24),A686&lt;=DATE(2014,10,6)),"Promo 1",IF(AND(A686&gt;=DATE(2014,9,10),A686&lt;=DATE(2014,9,23)),"Baseline 1",IF(AND(A686&gt;=DATE(2015,9,23),A686&lt;=DATE(2015,10,6)),"Promo 2",IF(AND(A686&gt;=DATE(2015,9,9),A686&lt;=DATE(2015,9,22)),"Baseline 2",IF(AND(A686&gt;=DATE(2016,6,23),A686&lt;=DATE(2016,7,6)),"Promo 3",IF(AND(A686&gt;=DATE(2016,6,9),A686&lt;=DATE(2016,6,22)),"Baseline 3","Other"))))))</f>
        <v>Other</v>
      </c>
    </row>
    <row r="687" customFormat="false" ht="15" hidden="false" customHeight="true" outlineLevel="0" collapsed="false">
      <c r="A687" s="12" t="n">
        <v>42323</v>
      </c>
      <c r="B687" s="13" t="n">
        <v>168729.962403209</v>
      </c>
      <c r="C687" s="13" t="n">
        <v>184673.488505802</v>
      </c>
      <c r="D687" s="14" t="n">
        <v>4803</v>
      </c>
      <c r="E687" s="15" t="n">
        <f aca="false">B687/D687</f>
        <v>35.1301191761834</v>
      </c>
      <c r="F687" s="15" t="n">
        <f aca="false">C687/D687</f>
        <v>38.4496124309394</v>
      </c>
      <c r="G687" s="13" t="n">
        <f aca="false">B687-C687</f>
        <v>-15943.526102593</v>
      </c>
      <c r="H687" s="16" t="n">
        <f aca="false">G687/B687</f>
        <v>-0.0944913747120575</v>
      </c>
      <c r="I687" s="15" t="n">
        <f aca="false">G687/D687</f>
        <v>-3.31949325475599</v>
      </c>
      <c r="J687" s="16" t="n">
        <f aca="false">I687/E687</f>
        <v>-0.0944913747120575</v>
      </c>
      <c r="K687" s="17" t="str">
        <f aca="false">TEXT(A687,"dddd")</f>
        <v>Sunday</v>
      </c>
      <c r="L687" s="17" t="str">
        <f aca="false">IF(AND(A687&gt;=DATE(2014,9,24),A687&lt;=DATE(2014,10,6)),"Promo 1",IF(AND(A687&gt;=DATE(2014,9,10),A687&lt;=DATE(2014,9,23)),"Baseline 1",IF(AND(A687&gt;=DATE(2015,9,23),A687&lt;=DATE(2015,10,6)),"Promo 2",IF(AND(A687&gt;=DATE(2015,9,9),A687&lt;=DATE(2015,9,22)),"Baseline 2",IF(AND(A687&gt;=DATE(2016,6,23),A687&lt;=DATE(2016,7,6)),"Promo 3",IF(AND(A687&gt;=DATE(2016,6,9),A687&lt;=DATE(2016,6,22)),"Baseline 3","Other"))))))</f>
        <v>Other</v>
      </c>
    </row>
    <row r="688" customFormat="false" ht="15" hidden="false" customHeight="true" outlineLevel="0" collapsed="false">
      <c r="A688" s="12" t="n">
        <v>42324</v>
      </c>
      <c r="B688" s="13" t="n">
        <v>177192.56981712</v>
      </c>
      <c r="C688" s="13" t="n">
        <v>193615.30370473</v>
      </c>
      <c r="D688" s="14" t="n">
        <v>5042</v>
      </c>
      <c r="E688" s="15" t="n">
        <f aca="false">B688/D688</f>
        <v>35.143310158096</v>
      </c>
      <c r="F688" s="15" t="n">
        <f aca="false">C688/D688</f>
        <v>38.40049656976</v>
      </c>
      <c r="G688" s="13" t="n">
        <f aca="false">B688-C688</f>
        <v>-16422.73388761</v>
      </c>
      <c r="H688" s="16" t="n">
        <f aca="false">G688/B688</f>
        <v>-0.0926829714392644</v>
      </c>
      <c r="I688" s="15" t="n">
        <f aca="false">G688/D688</f>
        <v>-3.25718641166402</v>
      </c>
      <c r="J688" s="16" t="n">
        <f aca="false">I688/E688</f>
        <v>-0.0926829714392644</v>
      </c>
      <c r="K688" s="17" t="str">
        <f aca="false">TEXT(A688,"dddd")</f>
        <v>Monday</v>
      </c>
      <c r="L688" s="17" t="str">
        <f aca="false">IF(AND(A688&gt;=DATE(2014,9,24),A688&lt;=DATE(2014,10,6)),"Promo 1",IF(AND(A688&gt;=DATE(2014,9,10),A688&lt;=DATE(2014,9,23)),"Baseline 1",IF(AND(A688&gt;=DATE(2015,9,23),A688&lt;=DATE(2015,10,6)),"Promo 2",IF(AND(A688&gt;=DATE(2015,9,9),A688&lt;=DATE(2015,9,22)),"Baseline 2",IF(AND(A688&gt;=DATE(2016,6,23),A688&lt;=DATE(2016,7,6)),"Promo 3",IF(AND(A688&gt;=DATE(2016,6,9),A688&lt;=DATE(2016,6,22)),"Baseline 3","Other"))))))</f>
        <v>Other</v>
      </c>
    </row>
    <row r="689" customFormat="false" ht="15" hidden="false" customHeight="true" outlineLevel="0" collapsed="false">
      <c r="A689" s="12" t="n">
        <v>42325</v>
      </c>
      <c r="B689" s="13" t="n">
        <v>152368.749092446</v>
      </c>
      <c r="C689" s="13" t="n">
        <v>166625.365017798</v>
      </c>
      <c r="D689" s="14" t="n">
        <v>4342</v>
      </c>
      <c r="E689" s="15" t="n">
        <f aca="false">B689/D689</f>
        <v>35.0918353506324</v>
      </c>
      <c r="F689" s="15" t="n">
        <f aca="false">C689/D689</f>
        <v>38.3752567982031</v>
      </c>
      <c r="G689" s="13" t="n">
        <f aca="false">B689-C689</f>
        <v>-14256.615925352</v>
      </c>
      <c r="H689" s="16" t="n">
        <f aca="false">G689/B689</f>
        <v>-0.0935665352000898</v>
      </c>
      <c r="I689" s="15" t="n">
        <f aca="false">G689/D689</f>
        <v>-3.28342144757071</v>
      </c>
      <c r="J689" s="16" t="n">
        <f aca="false">I689/E689</f>
        <v>-0.0935665352000898</v>
      </c>
      <c r="K689" s="17" t="str">
        <f aca="false">TEXT(A689,"dddd")</f>
        <v>Tuesday</v>
      </c>
      <c r="L689" s="17" t="str">
        <f aca="false">IF(AND(A689&gt;=DATE(2014,9,24),A689&lt;=DATE(2014,10,6)),"Promo 1",IF(AND(A689&gt;=DATE(2014,9,10),A689&lt;=DATE(2014,9,23)),"Baseline 1",IF(AND(A689&gt;=DATE(2015,9,23),A689&lt;=DATE(2015,10,6)),"Promo 2",IF(AND(A689&gt;=DATE(2015,9,9),A689&lt;=DATE(2015,9,22)),"Baseline 2",IF(AND(A689&gt;=DATE(2016,6,23),A689&lt;=DATE(2016,7,6)),"Promo 3",IF(AND(A689&gt;=DATE(2016,6,9),A689&lt;=DATE(2016,6,22)),"Baseline 3","Other"))))))</f>
        <v>Other</v>
      </c>
    </row>
    <row r="690" customFormat="false" ht="15" hidden="false" customHeight="true" outlineLevel="0" collapsed="false">
      <c r="A690" s="12" t="n">
        <v>42326</v>
      </c>
      <c r="B690" s="13" t="n">
        <v>147471.804919516</v>
      </c>
      <c r="C690" s="13" t="n">
        <v>161402.91869953</v>
      </c>
      <c r="D690" s="14" t="n">
        <v>4202</v>
      </c>
      <c r="E690" s="15" t="n">
        <f aca="false">B690/D690</f>
        <v>35.0956223035497</v>
      </c>
      <c r="F690" s="15" t="n">
        <f aca="false">C690/D690</f>
        <v>38.4109754163565</v>
      </c>
      <c r="G690" s="13" t="n">
        <f aca="false">B690-C690</f>
        <v>-13931.113780014</v>
      </c>
      <c r="H690" s="16" t="n">
        <f aca="false">G690/B690</f>
        <v>-0.0944662865394306</v>
      </c>
      <c r="I690" s="15" t="n">
        <f aca="false">G690/D690</f>
        <v>-3.31535311280676</v>
      </c>
      <c r="J690" s="16" t="n">
        <f aca="false">I690/E690</f>
        <v>-0.0944662865394306</v>
      </c>
      <c r="K690" s="17" t="str">
        <f aca="false">TEXT(A690,"dddd")</f>
        <v>Wednesday</v>
      </c>
      <c r="L690" s="17" t="str">
        <f aca="false">IF(AND(A690&gt;=DATE(2014,9,24),A690&lt;=DATE(2014,10,6)),"Promo 1",IF(AND(A690&gt;=DATE(2014,9,10),A690&lt;=DATE(2014,9,23)),"Baseline 1",IF(AND(A690&gt;=DATE(2015,9,23),A690&lt;=DATE(2015,10,6)),"Promo 2",IF(AND(A690&gt;=DATE(2015,9,9),A690&lt;=DATE(2015,9,22)),"Baseline 2",IF(AND(A690&gt;=DATE(2016,6,23),A690&lt;=DATE(2016,7,6)),"Promo 3",IF(AND(A690&gt;=DATE(2016,6,9),A690&lt;=DATE(2016,6,22)),"Baseline 3","Other"))))))</f>
        <v>Other</v>
      </c>
    </row>
    <row r="691" customFormat="false" ht="15" hidden="false" customHeight="true" outlineLevel="0" collapsed="false">
      <c r="A691" s="12" t="n">
        <v>42327</v>
      </c>
      <c r="B691" s="13" t="n">
        <v>145697.151982356</v>
      </c>
      <c r="C691" s="13" t="n">
        <v>159317.609394273</v>
      </c>
      <c r="D691" s="14" t="n">
        <v>4151</v>
      </c>
      <c r="E691" s="15" t="n">
        <f aca="false">B691/D691</f>
        <v>35.0992898054339</v>
      </c>
      <c r="F691" s="15" t="n">
        <f aca="false">C691/D691</f>
        <v>38.3805370740239</v>
      </c>
      <c r="G691" s="13" t="n">
        <f aca="false">B691-C691</f>
        <v>-13620.457411917</v>
      </c>
      <c r="H691" s="16" t="n">
        <f aca="false">G691/B691</f>
        <v>-0.0934847196846128</v>
      </c>
      <c r="I691" s="15" t="n">
        <f aca="false">G691/D691</f>
        <v>-3.28124726858997</v>
      </c>
      <c r="J691" s="16" t="n">
        <f aca="false">I691/E691</f>
        <v>-0.0934847196846128</v>
      </c>
      <c r="K691" s="17" t="str">
        <f aca="false">TEXT(A691,"dddd")</f>
        <v>Thursday</v>
      </c>
      <c r="L691" s="17" t="str">
        <f aca="false">IF(AND(A691&gt;=DATE(2014,9,24),A691&lt;=DATE(2014,10,6)),"Promo 1",IF(AND(A691&gt;=DATE(2014,9,10),A691&lt;=DATE(2014,9,23)),"Baseline 1",IF(AND(A691&gt;=DATE(2015,9,23),A691&lt;=DATE(2015,10,6)),"Promo 2",IF(AND(A691&gt;=DATE(2015,9,9),A691&lt;=DATE(2015,9,22)),"Baseline 2",IF(AND(A691&gt;=DATE(2016,6,23),A691&lt;=DATE(2016,7,6)),"Promo 3",IF(AND(A691&gt;=DATE(2016,6,9),A691&lt;=DATE(2016,6,22)),"Baseline 3","Other"))))))</f>
        <v>Other</v>
      </c>
    </row>
    <row r="692" customFormat="false" ht="15" hidden="false" customHeight="true" outlineLevel="0" collapsed="false">
      <c r="A692" s="12" t="n">
        <v>42328</v>
      </c>
      <c r="B692" s="13" t="n">
        <v>301033.986512722</v>
      </c>
      <c r="C692" s="13" t="n">
        <v>328965.14326488</v>
      </c>
      <c r="D692" s="14" t="n">
        <v>8567</v>
      </c>
      <c r="E692" s="15" t="n">
        <f aca="false">B692/D692</f>
        <v>35.1387867996641</v>
      </c>
      <c r="F692" s="15" t="n">
        <f aca="false">C692/D692</f>
        <v>38.3991062524664</v>
      </c>
      <c r="G692" s="13" t="n">
        <f aca="false">B692-C692</f>
        <v>-27931.156752158</v>
      </c>
      <c r="H692" s="16" t="n">
        <f aca="false">G692/B692</f>
        <v>-0.0927840642703565</v>
      </c>
      <c r="I692" s="15" t="n">
        <f aca="false">G692/D692</f>
        <v>-3.26031945280238</v>
      </c>
      <c r="J692" s="16" t="n">
        <f aca="false">I692/E692</f>
        <v>-0.0927840642703564</v>
      </c>
      <c r="K692" s="17" t="str">
        <f aca="false">TEXT(A692,"dddd")</f>
        <v>Friday</v>
      </c>
      <c r="L692" s="17" t="str">
        <f aca="false">IF(AND(A692&gt;=DATE(2014,9,24),A692&lt;=DATE(2014,10,6)),"Promo 1",IF(AND(A692&gt;=DATE(2014,9,10),A692&lt;=DATE(2014,9,23)),"Baseline 1",IF(AND(A692&gt;=DATE(2015,9,23),A692&lt;=DATE(2015,10,6)),"Promo 2",IF(AND(A692&gt;=DATE(2015,9,9),A692&lt;=DATE(2015,9,22)),"Baseline 2",IF(AND(A692&gt;=DATE(2016,6,23),A692&lt;=DATE(2016,7,6)),"Promo 3",IF(AND(A692&gt;=DATE(2016,6,9),A692&lt;=DATE(2016,6,22)),"Baseline 3","Other"))))))</f>
        <v>Other</v>
      </c>
    </row>
    <row r="693" customFormat="false" ht="15" hidden="false" customHeight="true" outlineLevel="0" collapsed="false">
      <c r="A693" s="12" t="n">
        <v>42329</v>
      </c>
      <c r="B693" s="13" t="n">
        <v>309518.072071285</v>
      </c>
      <c r="C693" s="13" t="n">
        <v>338720.023625986</v>
      </c>
      <c r="D693" s="14" t="n">
        <v>8811</v>
      </c>
      <c r="E693" s="15" t="n">
        <f aca="false">B693/D693</f>
        <v>35.1285974431149</v>
      </c>
      <c r="F693" s="15" t="n">
        <f aca="false">C693/D693</f>
        <v>38.4428582029266</v>
      </c>
      <c r="G693" s="13" t="n">
        <f aca="false">B693-C693</f>
        <v>-29201.951554701</v>
      </c>
      <c r="H693" s="16" t="n">
        <f aca="false">G693/B693</f>
        <v>-0.0943465154046822</v>
      </c>
      <c r="I693" s="15" t="n">
        <f aca="false">G693/D693</f>
        <v>-3.31426075981172</v>
      </c>
      <c r="J693" s="16" t="n">
        <f aca="false">I693/E693</f>
        <v>-0.0943465154046822</v>
      </c>
      <c r="K693" s="17" t="str">
        <f aca="false">TEXT(A693,"dddd")</f>
        <v>Saturday</v>
      </c>
      <c r="L693" s="17" t="str">
        <f aca="false">IF(AND(A693&gt;=DATE(2014,9,24),A693&lt;=DATE(2014,10,6)),"Promo 1",IF(AND(A693&gt;=DATE(2014,9,10),A693&lt;=DATE(2014,9,23)),"Baseline 1",IF(AND(A693&gt;=DATE(2015,9,23),A693&lt;=DATE(2015,10,6)),"Promo 2",IF(AND(A693&gt;=DATE(2015,9,9),A693&lt;=DATE(2015,9,22)),"Baseline 2",IF(AND(A693&gt;=DATE(2016,6,23),A693&lt;=DATE(2016,7,6)),"Promo 3",IF(AND(A693&gt;=DATE(2016,6,9),A693&lt;=DATE(2016,6,22)),"Baseline 3","Other"))))))</f>
        <v>Other</v>
      </c>
    </row>
    <row r="694" customFormat="false" ht="15" hidden="false" customHeight="true" outlineLevel="0" collapsed="false">
      <c r="A694" s="12" t="n">
        <v>42330</v>
      </c>
      <c r="B694" s="13" t="n">
        <v>152504.631727354</v>
      </c>
      <c r="C694" s="13" t="n">
        <v>167600.650935746</v>
      </c>
      <c r="D694" s="14" t="n">
        <v>4345</v>
      </c>
      <c r="E694" s="15" t="n">
        <f aca="false">B694/D694</f>
        <v>35.0988795690113</v>
      </c>
      <c r="F694" s="15" t="n">
        <f aca="false">C694/D694</f>
        <v>38.5732223097229</v>
      </c>
      <c r="G694" s="13" t="n">
        <f aca="false">B694-C694</f>
        <v>-15096.019208392</v>
      </c>
      <c r="H694" s="16" t="n">
        <f aca="false">G694/B694</f>
        <v>-0.0989872834510397</v>
      </c>
      <c r="I694" s="15" t="n">
        <f aca="false">G694/D694</f>
        <v>-3.47434274071163</v>
      </c>
      <c r="J694" s="16" t="n">
        <f aca="false">I694/E694</f>
        <v>-0.0989872834510397</v>
      </c>
      <c r="K694" s="17" t="str">
        <f aca="false">TEXT(A694,"dddd")</f>
        <v>Sunday</v>
      </c>
      <c r="L694" s="17" t="str">
        <f aca="false">IF(AND(A694&gt;=DATE(2014,9,24),A694&lt;=DATE(2014,10,6)),"Promo 1",IF(AND(A694&gt;=DATE(2014,9,10),A694&lt;=DATE(2014,9,23)),"Baseline 1",IF(AND(A694&gt;=DATE(2015,9,23),A694&lt;=DATE(2015,10,6)),"Promo 2",IF(AND(A694&gt;=DATE(2015,9,9),A694&lt;=DATE(2015,9,22)),"Baseline 2",IF(AND(A694&gt;=DATE(2016,6,23),A694&lt;=DATE(2016,7,6)),"Promo 3",IF(AND(A694&gt;=DATE(2016,6,9),A694&lt;=DATE(2016,6,22)),"Baseline 3","Other"))))))</f>
        <v>Other</v>
      </c>
    </row>
    <row r="695" customFormat="false" ht="15" hidden="false" customHeight="true" outlineLevel="0" collapsed="false">
      <c r="A695" s="12" t="n">
        <v>42331</v>
      </c>
      <c r="B695" s="13" t="n">
        <v>79711.5834141005</v>
      </c>
      <c r="C695" s="13" t="n">
        <v>74375.788707865</v>
      </c>
      <c r="D695" s="14" t="n">
        <v>1937</v>
      </c>
      <c r="E695" s="15" t="n">
        <f aca="false">B695/D695</f>
        <v>41.152082299484</v>
      </c>
      <c r="F695" s="15" t="n">
        <f aca="false">C695/D695</f>
        <v>38.3974128589907</v>
      </c>
      <c r="G695" s="13" t="n">
        <f aca="false">B695-C695</f>
        <v>5335.79470623551</v>
      </c>
      <c r="H695" s="16" t="n">
        <f aca="false">G695/B695</f>
        <v>0.0669387619427422</v>
      </c>
      <c r="I695" s="15" t="n">
        <f aca="false">G695/D695</f>
        <v>2.75466944049329</v>
      </c>
      <c r="J695" s="16" t="n">
        <f aca="false">I695/E695</f>
        <v>0.0669387619427422</v>
      </c>
      <c r="K695" s="17" t="str">
        <f aca="false">TEXT(A695,"dddd")</f>
        <v>Monday</v>
      </c>
      <c r="L695" s="17" t="str">
        <f aca="false">IF(AND(A695&gt;=DATE(2014,9,24),A695&lt;=DATE(2014,10,6)),"Promo 1",IF(AND(A695&gt;=DATE(2014,9,10),A695&lt;=DATE(2014,9,23)),"Baseline 1",IF(AND(A695&gt;=DATE(2015,9,23),A695&lt;=DATE(2015,10,6)),"Promo 2",IF(AND(A695&gt;=DATE(2015,9,9),A695&lt;=DATE(2015,9,22)),"Baseline 2",IF(AND(A695&gt;=DATE(2016,6,23),A695&lt;=DATE(2016,7,6)),"Promo 3",IF(AND(A695&gt;=DATE(2016,6,9),A695&lt;=DATE(2016,6,22)),"Baseline 3","Other"))))))</f>
        <v>Other</v>
      </c>
    </row>
    <row r="696" customFormat="false" ht="15" hidden="false" customHeight="true" outlineLevel="0" collapsed="false">
      <c r="A696" s="12" t="n">
        <v>42332</v>
      </c>
      <c r="B696" s="13" t="n">
        <v>111021.379113999</v>
      </c>
      <c r="C696" s="13" t="n">
        <v>121456.524019197</v>
      </c>
      <c r="D696" s="14" t="n">
        <v>3160</v>
      </c>
      <c r="E696" s="15" t="n">
        <f aca="false">B696/D696</f>
        <v>35.1333478208858</v>
      </c>
      <c r="F696" s="15" t="n">
        <f aca="false">C696/D696</f>
        <v>38.4356088668345</v>
      </c>
      <c r="G696" s="13" t="n">
        <f aca="false">B696-C696</f>
        <v>-10435.144905198</v>
      </c>
      <c r="H696" s="16" t="n">
        <f aca="false">G696/B696</f>
        <v>-0.0939922111261379</v>
      </c>
      <c r="I696" s="15" t="n">
        <f aca="false">G696/D696</f>
        <v>-3.30226104594873</v>
      </c>
      <c r="J696" s="16" t="n">
        <f aca="false">I696/E696</f>
        <v>-0.0939922111261379</v>
      </c>
      <c r="K696" s="17" t="str">
        <f aca="false">TEXT(A696,"dddd")</f>
        <v>Tuesday</v>
      </c>
      <c r="L696" s="17" t="str">
        <f aca="false">IF(AND(A696&gt;=DATE(2014,9,24),A696&lt;=DATE(2014,10,6)),"Promo 1",IF(AND(A696&gt;=DATE(2014,9,10),A696&lt;=DATE(2014,9,23)),"Baseline 1",IF(AND(A696&gt;=DATE(2015,9,23),A696&lt;=DATE(2015,10,6)),"Promo 2",IF(AND(A696&gt;=DATE(2015,9,9),A696&lt;=DATE(2015,9,22)),"Baseline 2",IF(AND(A696&gt;=DATE(2016,6,23),A696&lt;=DATE(2016,7,6)),"Promo 3",IF(AND(A696&gt;=DATE(2016,6,9),A696&lt;=DATE(2016,6,22)),"Baseline 3","Other"))))))</f>
        <v>Other</v>
      </c>
    </row>
    <row r="697" customFormat="false" ht="15" hidden="false" customHeight="true" outlineLevel="0" collapsed="false">
      <c r="A697" s="12" t="n">
        <v>42333</v>
      </c>
      <c r="B697" s="13" t="n">
        <v>243161.259233289</v>
      </c>
      <c r="C697" s="13" t="n">
        <v>266054.369856793</v>
      </c>
      <c r="D697" s="14" t="n">
        <v>6924</v>
      </c>
      <c r="E697" s="15" t="n">
        <f aca="false">B697/D697</f>
        <v>35.1186105189614</v>
      </c>
      <c r="F697" s="15" t="n">
        <f aca="false">C697/D697</f>
        <v>38.4249523190054</v>
      </c>
      <c r="G697" s="13" t="n">
        <f aca="false">B697-C697</f>
        <v>-22893.110623504</v>
      </c>
      <c r="H697" s="16" t="n">
        <f aca="false">G697/B697</f>
        <v>-0.0941478535507187</v>
      </c>
      <c r="I697" s="15" t="n">
        <f aca="false">G697/D697</f>
        <v>-3.30634180004391</v>
      </c>
      <c r="J697" s="16" t="n">
        <f aca="false">I697/E697</f>
        <v>-0.0941478535507187</v>
      </c>
      <c r="K697" s="17" t="str">
        <f aca="false">TEXT(A697,"dddd")</f>
        <v>Wednesday</v>
      </c>
      <c r="L697" s="17" t="str">
        <f aca="false">IF(AND(A697&gt;=DATE(2014,9,24),A697&lt;=DATE(2014,10,6)),"Promo 1",IF(AND(A697&gt;=DATE(2014,9,10),A697&lt;=DATE(2014,9,23)),"Baseline 1",IF(AND(A697&gt;=DATE(2015,9,23),A697&lt;=DATE(2015,10,6)),"Promo 2",IF(AND(A697&gt;=DATE(2015,9,9),A697&lt;=DATE(2015,9,22)),"Baseline 2",IF(AND(A697&gt;=DATE(2016,6,23),A697&lt;=DATE(2016,7,6)),"Promo 3",IF(AND(A697&gt;=DATE(2016,6,9),A697&lt;=DATE(2016,6,22)),"Baseline 3","Other"))))))</f>
        <v>Other</v>
      </c>
    </row>
    <row r="698" customFormat="false" ht="15" hidden="false" customHeight="true" outlineLevel="0" collapsed="false">
      <c r="A698" s="12" t="n">
        <v>42334</v>
      </c>
      <c r="B698" s="13" t="n">
        <v>311443.181231897</v>
      </c>
      <c r="C698" s="13" t="n">
        <v>355343.871840907</v>
      </c>
      <c r="D698" s="14" t="n">
        <v>9273</v>
      </c>
      <c r="E698" s="15" t="n">
        <f aca="false">B698/D698</f>
        <v>33.5860219165208</v>
      </c>
      <c r="F698" s="15" t="n">
        <f aca="false">C698/D698</f>
        <v>38.3202708768367</v>
      </c>
      <c r="G698" s="13" t="n">
        <f aca="false">B698-C698</f>
        <v>-43900.6906090101</v>
      </c>
      <c r="H698" s="16" t="n">
        <f aca="false">G698/B698</f>
        <v>-0.140958907609931</v>
      </c>
      <c r="I698" s="15" t="n">
        <f aca="false">G698/D698</f>
        <v>-4.73424896031598</v>
      </c>
      <c r="J698" s="16" t="n">
        <f aca="false">I698/E698</f>
        <v>-0.140958907609931</v>
      </c>
      <c r="K698" s="17" t="str">
        <f aca="false">TEXT(A698,"dddd")</f>
        <v>Thursday</v>
      </c>
      <c r="L698" s="17" t="str">
        <f aca="false">IF(AND(A698&gt;=DATE(2014,9,24),A698&lt;=DATE(2014,10,6)),"Promo 1",IF(AND(A698&gt;=DATE(2014,9,10),A698&lt;=DATE(2014,9,23)),"Baseline 1",IF(AND(A698&gt;=DATE(2015,9,23),A698&lt;=DATE(2015,10,6)),"Promo 2",IF(AND(A698&gt;=DATE(2015,9,9),A698&lt;=DATE(2015,9,22)),"Baseline 2",IF(AND(A698&gt;=DATE(2016,6,23),A698&lt;=DATE(2016,7,6)),"Promo 3",IF(AND(A698&gt;=DATE(2016,6,9),A698&lt;=DATE(2016,6,22)),"Baseline 3","Other"))))))</f>
        <v>Other</v>
      </c>
    </row>
    <row r="699" customFormat="false" ht="15" hidden="false" customHeight="true" outlineLevel="0" collapsed="false">
      <c r="A699" s="12" t="n">
        <v>42335</v>
      </c>
      <c r="B699" s="13" t="n">
        <v>375876.013421953</v>
      </c>
      <c r="C699" s="13" t="n">
        <v>431325.686693676</v>
      </c>
      <c r="D699" s="14" t="n">
        <v>11257</v>
      </c>
      <c r="E699" s="15" t="n">
        <f aca="false">B699/D699</f>
        <v>33.3904249286624</v>
      </c>
      <c r="F699" s="15" t="n">
        <f aca="false">C699/D699</f>
        <v>38.3162198359844</v>
      </c>
      <c r="G699" s="13" t="n">
        <f aca="false">B699-C699</f>
        <v>-55449.673271723</v>
      </c>
      <c r="H699" s="16" t="n">
        <f aca="false">G699/B699</f>
        <v>-0.147521180633242</v>
      </c>
      <c r="I699" s="15" t="n">
        <f aca="false">G699/D699</f>
        <v>-4.92579490732193</v>
      </c>
      <c r="J699" s="16" t="n">
        <f aca="false">I699/E699</f>
        <v>-0.147521180633242</v>
      </c>
      <c r="K699" s="17" t="str">
        <f aca="false">TEXT(A699,"dddd")</f>
        <v>Friday</v>
      </c>
      <c r="L699" s="17" t="str">
        <f aca="false">IF(AND(A699&gt;=DATE(2014,9,24),A699&lt;=DATE(2014,10,6)),"Promo 1",IF(AND(A699&gt;=DATE(2014,9,10),A699&lt;=DATE(2014,9,23)),"Baseline 1",IF(AND(A699&gt;=DATE(2015,9,23),A699&lt;=DATE(2015,10,6)),"Promo 2",IF(AND(A699&gt;=DATE(2015,9,9),A699&lt;=DATE(2015,9,22)),"Baseline 2",IF(AND(A699&gt;=DATE(2016,6,23),A699&lt;=DATE(2016,7,6)),"Promo 3",IF(AND(A699&gt;=DATE(2016,6,9),A699&lt;=DATE(2016,6,22)),"Baseline 3","Other"))))))</f>
        <v>Other</v>
      </c>
    </row>
    <row r="700" customFormat="false" ht="15" hidden="false" customHeight="true" outlineLevel="0" collapsed="false">
      <c r="A700" s="12" t="n">
        <v>42336</v>
      </c>
      <c r="B700" s="13" t="n">
        <v>434639.658995269</v>
      </c>
      <c r="C700" s="13" t="n">
        <v>498895.618645356</v>
      </c>
      <c r="D700" s="14" t="n">
        <v>13019</v>
      </c>
      <c r="E700" s="15" t="n">
        <f aca="false">B700/D700</f>
        <v>33.385026422557</v>
      </c>
      <c r="F700" s="15" t="n">
        <f aca="false">C700/D700</f>
        <v>38.3205790494935</v>
      </c>
      <c r="G700" s="13" t="n">
        <f aca="false">B700-C700</f>
        <v>-64255.959650087</v>
      </c>
      <c r="H700" s="16" t="n">
        <f aca="false">G700/B700</f>
        <v>-0.147837313784535</v>
      </c>
      <c r="I700" s="15" t="n">
        <f aca="false">G700/D700</f>
        <v>-4.93555262693655</v>
      </c>
      <c r="J700" s="16" t="n">
        <f aca="false">I700/E700</f>
        <v>-0.147837313784535</v>
      </c>
      <c r="K700" s="17" t="str">
        <f aca="false">TEXT(A700,"dddd")</f>
        <v>Saturday</v>
      </c>
      <c r="L700" s="17" t="str">
        <f aca="false">IF(AND(A700&gt;=DATE(2014,9,24),A700&lt;=DATE(2014,10,6)),"Promo 1",IF(AND(A700&gt;=DATE(2014,9,10),A700&lt;=DATE(2014,9,23)),"Baseline 1",IF(AND(A700&gt;=DATE(2015,9,23),A700&lt;=DATE(2015,10,6)),"Promo 2",IF(AND(A700&gt;=DATE(2015,9,9),A700&lt;=DATE(2015,9,22)),"Baseline 2",IF(AND(A700&gt;=DATE(2016,6,23),A700&lt;=DATE(2016,7,6)),"Promo 3",IF(AND(A700&gt;=DATE(2016,6,9),A700&lt;=DATE(2016,6,22)),"Baseline 3","Other"))))))</f>
        <v>Other</v>
      </c>
    </row>
    <row r="701" customFormat="false" ht="15" hidden="false" customHeight="true" outlineLevel="0" collapsed="false">
      <c r="A701" s="12" t="n">
        <v>42337</v>
      </c>
      <c r="B701" s="13" t="n">
        <v>238637.816355456</v>
      </c>
      <c r="C701" s="13" t="n">
        <v>274093.57795912</v>
      </c>
      <c r="D701" s="14" t="n">
        <v>7139</v>
      </c>
      <c r="E701" s="15" t="n">
        <f aca="false">B701/D701</f>
        <v>33.4273450560941</v>
      </c>
      <c r="F701" s="15" t="n">
        <f aca="false">C701/D701</f>
        <v>38.3938335844124</v>
      </c>
      <c r="G701" s="13" t="n">
        <f aca="false">B701-C701</f>
        <v>-35455.761603664</v>
      </c>
      <c r="H701" s="16" t="n">
        <f aca="false">G701/B701</f>
        <v>-0.148575620348671</v>
      </c>
      <c r="I701" s="15" t="n">
        <f aca="false">G701/D701</f>
        <v>-4.96648852831825</v>
      </c>
      <c r="J701" s="16" t="n">
        <f aca="false">I701/E701</f>
        <v>-0.148575620348671</v>
      </c>
      <c r="K701" s="17" t="str">
        <f aca="false">TEXT(A701,"dddd")</f>
        <v>Sunday</v>
      </c>
      <c r="L701" s="17" t="str">
        <f aca="false">IF(AND(A701&gt;=DATE(2014,9,24),A701&lt;=DATE(2014,10,6)),"Promo 1",IF(AND(A701&gt;=DATE(2014,9,10),A701&lt;=DATE(2014,9,23)),"Baseline 1",IF(AND(A701&gt;=DATE(2015,9,23),A701&lt;=DATE(2015,10,6)),"Promo 2",IF(AND(A701&gt;=DATE(2015,9,9),A701&lt;=DATE(2015,9,22)),"Baseline 2",IF(AND(A701&gt;=DATE(2016,6,23),A701&lt;=DATE(2016,7,6)),"Promo 3",IF(AND(A701&gt;=DATE(2016,6,9),A701&lt;=DATE(2016,6,22)),"Baseline 3","Other"))))))</f>
        <v>Other</v>
      </c>
    </row>
    <row r="702" customFormat="false" ht="15" hidden="false" customHeight="true" outlineLevel="0" collapsed="false">
      <c r="A702" s="12" t="n">
        <v>42338</v>
      </c>
      <c r="B702" s="13" t="n">
        <v>260653.666963496</v>
      </c>
      <c r="C702" s="13" t="n">
        <v>283981.150688645</v>
      </c>
      <c r="D702" s="14" t="n">
        <v>7423</v>
      </c>
      <c r="E702" s="15" t="n">
        <f aca="false">B702/D702</f>
        <v>35.1143293767339</v>
      </c>
      <c r="F702" s="15" t="n">
        <f aca="false">C702/D702</f>
        <v>38.2569245168591</v>
      </c>
      <c r="G702" s="13" t="n">
        <f aca="false">B702-C702</f>
        <v>-23327.483725149</v>
      </c>
      <c r="H702" s="16" t="n">
        <f aca="false">G702/B702</f>
        <v>-0.0894960888020654</v>
      </c>
      <c r="I702" s="15" t="n">
        <f aca="false">G702/D702</f>
        <v>-3.14259514012515</v>
      </c>
      <c r="J702" s="16" t="n">
        <f aca="false">I702/E702</f>
        <v>-0.0894960888020654</v>
      </c>
      <c r="K702" s="17" t="str">
        <f aca="false">TEXT(A702,"dddd")</f>
        <v>Monday</v>
      </c>
      <c r="L702" s="17" t="str">
        <f aca="false">IF(AND(A702&gt;=DATE(2014,9,24),A702&lt;=DATE(2014,10,6)),"Promo 1",IF(AND(A702&gt;=DATE(2014,9,10),A702&lt;=DATE(2014,9,23)),"Baseline 1",IF(AND(A702&gt;=DATE(2015,9,23),A702&lt;=DATE(2015,10,6)),"Promo 2",IF(AND(A702&gt;=DATE(2015,9,9),A702&lt;=DATE(2015,9,22)),"Baseline 2",IF(AND(A702&gt;=DATE(2016,6,23),A702&lt;=DATE(2016,7,6)),"Promo 3",IF(AND(A702&gt;=DATE(2016,6,9),A702&lt;=DATE(2016,6,22)),"Baseline 3","Other"))))))</f>
        <v>Other</v>
      </c>
    </row>
    <row r="703" customFormat="false" ht="15" hidden="false" customHeight="true" outlineLevel="0" collapsed="false">
      <c r="A703" s="12" t="n">
        <v>42339</v>
      </c>
      <c r="B703" s="13" t="n">
        <v>262394.780018279</v>
      </c>
      <c r="C703" s="13" t="n">
        <v>285838.556814769</v>
      </c>
      <c r="D703" s="14" t="n">
        <v>7474</v>
      </c>
      <c r="E703" s="15" t="n">
        <f aca="false">B703/D703</f>
        <v>35.1076772836873</v>
      </c>
      <c r="F703" s="15" t="n">
        <f aca="false">C703/D703</f>
        <v>38.2443881207879</v>
      </c>
      <c r="G703" s="13" t="n">
        <f aca="false">B703-C703</f>
        <v>-23443.77679649</v>
      </c>
      <c r="H703" s="16" t="n">
        <f aca="false">G703/B703</f>
        <v>-0.0893454389407322</v>
      </c>
      <c r="I703" s="15" t="n">
        <f aca="false">G703/D703</f>
        <v>-3.13671083710062</v>
      </c>
      <c r="J703" s="16" t="n">
        <f aca="false">I703/E703</f>
        <v>-0.0893454389407322</v>
      </c>
      <c r="K703" s="17" t="str">
        <f aca="false">TEXT(A703,"dddd")</f>
        <v>Tuesday</v>
      </c>
      <c r="L703" s="17" t="str">
        <f aca="false">IF(AND(A703&gt;=DATE(2014,9,24),A703&lt;=DATE(2014,10,6)),"Promo 1",IF(AND(A703&gt;=DATE(2014,9,10),A703&lt;=DATE(2014,9,23)),"Baseline 1",IF(AND(A703&gt;=DATE(2015,9,23),A703&lt;=DATE(2015,10,6)),"Promo 2",IF(AND(A703&gt;=DATE(2015,9,9),A703&lt;=DATE(2015,9,22)),"Baseline 2",IF(AND(A703&gt;=DATE(2016,6,23),A703&lt;=DATE(2016,7,6)),"Promo 3",IF(AND(A703&gt;=DATE(2016,6,9),A703&lt;=DATE(2016,6,22)),"Baseline 3","Other"))))))</f>
        <v>Other</v>
      </c>
    </row>
    <row r="704" customFormat="false" ht="15" hidden="false" customHeight="true" outlineLevel="0" collapsed="false">
      <c r="A704" s="12" t="n">
        <v>42340</v>
      </c>
      <c r="B704" s="13" t="n">
        <v>248437.711301094</v>
      </c>
      <c r="C704" s="13" t="n">
        <v>269807.620439098</v>
      </c>
      <c r="D704" s="14" t="n">
        <v>7056</v>
      </c>
      <c r="E704" s="15" t="n">
        <f aca="false">B704/D704</f>
        <v>35.2094262048036</v>
      </c>
      <c r="F704" s="15" t="n">
        <f aca="false">C704/D704</f>
        <v>38.2380414454504</v>
      </c>
      <c r="G704" s="13" t="n">
        <f aca="false">B704-C704</f>
        <v>-21369.909138004</v>
      </c>
      <c r="H704" s="16" t="n">
        <f aca="false">G704/B704</f>
        <v>-0.0860171711697373</v>
      </c>
      <c r="I704" s="15" t="n">
        <f aca="false">G704/D704</f>
        <v>-3.02861524064682</v>
      </c>
      <c r="J704" s="16" t="n">
        <f aca="false">I704/E704</f>
        <v>-0.0860171711697373</v>
      </c>
      <c r="K704" s="17" t="str">
        <f aca="false">TEXT(A704,"dddd")</f>
        <v>Wednesday</v>
      </c>
      <c r="L704" s="17" t="str">
        <f aca="false">IF(AND(A704&gt;=DATE(2014,9,24),A704&lt;=DATE(2014,10,6)),"Promo 1",IF(AND(A704&gt;=DATE(2014,9,10),A704&lt;=DATE(2014,9,23)),"Baseline 1",IF(AND(A704&gt;=DATE(2015,9,23),A704&lt;=DATE(2015,10,6)),"Promo 2",IF(AND(A704&gt;=DATE(2015,9,9),A704&lt;=DATE(2015,9,22)),"Baseline 2",IF(AND(A704&gt;=DATE(2016,6,23),A704&lt;=DATE(2016,7,6)),"Promo 3",IF(AND(A704&gt;=DATE(2016,6,9),A704&lt;=DATE(2016,6,22)),"Baseline 3","Other"))))))</f>
        <v>Other</v>
      </c>
    </row>
    <row r="705" customFormat="false" ht="15" hidden="false" customHeight="true" outlineLevel="0" collapsed="false">
      <c r="A705" s="12" t="n">
        <v>42341</v>
      </c>
      <c r="B705" s="13" t="n">
        <v>201048.830461674</v>
      </c>
      <c r="C705" s="13" t="n">
        <v>219110.393196454</v>
      </c>
      <c r="D705" s="14" t="n">
        <v>5732</v>
      </c>
      <c r="E705" s="15" t="n">
        <f aca="false">B705/D705</f>
        <v>35.0748134092244</v>
      </c>
      <c r="F705" s="15" t="n">
        <f aca="false">C705/D705</f>
        <v>38.2258187711888</v>
      </c>
      <c r="G705" s="13" t="n">
        <f aca="false">B705-C705</f>
        <v>-18061.56273478</v>
      </c>
      <c r="H705" s="16" t="n">
        <f aca="false">G705/B705</f>
        <v>-0.089836696355332</v>
      </c>
      <c r="I705" s="15" t="n">
        <f aca="false">G705/D705</f>
        <v>-3.15100536196441</v>
      </c>
      <c r="J705" s="16" t="n">
        <f aca="false">I705/E705</f>
        <v>-0.0898366963553319</v>
      </c>
      <c r="K705" s="17" t="str">
        <f aca="false">TEXT(A705,"dddd")</f>
        <v>Thursday</v>
      </c>
      <c r="L705" s="17" t="str">
        <f aca="false">IF(AND(A705&gt;=DATE(2014,9,24),A705&lt;=DATE(2014,10,6)),"Promo 1",IF(AND(A705&gt;=DATE(2014,9,10),A705&lt;=DATE(2014,9,23)),"Baseline 1",IF(AND(A705&gt;=DATE(2015,9,23),A705&lt;=DATE(2015,10,6)),"Promo 2",IF(AND(A705&gt;=DATE(2015,9,9),A705&lt;=DATE(2015,9,22)),"Baseline 2",IF(AND(A705&gt;=DATE(2016,6,23),A705&lt;=DATE(2016,7,6)),"Promo 3",IF(AND(A705&gt;=DATE(2016,6,9),A705&lt;=DATE(2016,6,22)),"Baseline 3","Other"))))))</f>
        <v>Other</v>
      </c>
    </row>
    <row r="706" customFormat="false" ht="15" hidden="false" customHeight="true" outlineLevel="0" collapsed="false">
      <c r="A706" s="12" t="n">
        <v>42342</v>
      </c>
      <c r="B706" s="13" t="n">
        <v>317690.760936051</v>
      </c>
      <c r="C706" s="13" t="n">
        <v>345449.529946861</v>
      </c>
      <c r="D706" s="14" t="n">
        <v>9038</v>
      </c>
      <c r="E706" s="15" t="n">
        <f aca="false">B706/D706</f>
        <v>35.1505599619441</v>
      </c>
      <c r="F706" s="15" t="n">
        <f aca="false">C706/D706</f>
        <v>38.2218997507038</v>
      </c>
      <c r="G706" s="13" t="n">
        <f aca="false">B706-C706</f>
        <v>-27758.76901081</v>
      </c>
      <c r="H706" s="16" t="n">
        <f aca="false">G706/B706</f>
        <v>-0.087376695907117</v>
      </c>
      <c r="I706" s="15" t="n">
        <f aca="false">G706/D706</f>
        <v>-3.07133978875968</v>
      </c>
      <c r="J706" s="16" t="n">
        <f aca="false">I706/E706</f>
        <v>-0.0873766959071171</v>
      </c>
      <c r="K706" s="17" t="str">
        <f aca="false">TEXT(A706,"dddd")</f>
        <v>Friday</v>
      </c>
      <c r="L706" s="17" t="str">
        <f aca="false">IF(AND(A706&gt;=DATE(2014,9,24),A706&lt;=DATE(2014,10,6)),"Promo 1",IF(AND(A706&gt;=DATE(2014,9,10),A706&lt;=DATE(2014,9,23)),"Baseline 1",IF(AND(A706&gt;=DATE(2015,9,23),A706&lt;=DATE(2015,10,6)),"Promo 2",IF(AND(A706&gt;=DATE(2015,9,9),A706&lt;=DATE(2015,9,22)),"Baseline 2",IF(AND(A706&gt;=DATE(2016,6,23),A706&lt;=DATE(2016,7,6)),"Promo 3",IF(AND(A706&gt;=DATE(2016,6,9),A706&lt;=DATE(2016,6,22)),"Baseline 3","Other"))))))</f>
        <v>Other</v>
      </c>
    </row>
    <row r="707" customFormat="false" ht="15" hidden="false" customHeight="true" outlineLevel="0" collapsed="false">
      <c r="A707" s="12" t="n">
        <v>42343</v>
      </c>
      <c r="B707" s="13" t="n">
        <v>378527.872617164</v>
      </c>
      <c r="C707" s="13" t="n">
        <v>410385.037009372</v>
      </c>
      <c r="D707" s="14" t="n">
        <v>10737</v>
      </c>
      <c r="E707" s="15" t="n">
        <f aca="false">B707/D707</f>
        <v>35.2545285104931</v>
      </c>
      <c r="F707" s="15" t="n">
        <f aca="false">C707/D707</f>
        <v>38.2215737179261</v>
      </c>
      <c r="G707" s="13" t="n">
        <f aca="false">B707-C707</f>
        <v>-31857.164392208</v>
      </c>
      <c r="H707" s="16" t="n">
        <f aca="false">G707/B707</f>
        <v>-0.0841606832594539</v>
      </c>
      <c r="I707" s="15" t="n">
        <f aca="false">G707/D707</f>
        <v>-2.96704520743299</v>
      </c>
      <c r="J707" s="16" t="n">
        <f aca="false">I707/E707</f>
        <v>-0.0841606832594539</v>
      </c>
      <c r="K707" s="17" t="str">
        <f aca="false">TEXT(A707,"dddd")</f>
        <v>Saturday</v>
      </c>
      <c r="L707" s="17" t="str">
        <f aca="false">IF(AND(A707&gt;=DATE(2014,9,24),A707&lt;=DATE(2014,10,6)),"Promo 1",IF(AND(A707&gt;=DATE(2014,9,10),A707&lt;=DATE(2014,9,23)),"Baseline 1",IF(AND(A707&gt;=DATE(2015,9,23),A707&lt;=DATE(2015,10,6)),"Promo 2",IF(AND(A707&gt;=DATE(2015,9,9),A707&lt;=DATE(2015,9,22)),"Baseline 2",IF(AND(A707&gt;=DATE(2016,6,23),A707&lt;=DATE(2016,7,6)),"Promo 3",IF(AND(A707&gt;=DATE(2016,6,9),A707&lt;=DATE(2016,6,22)),"Baseline 3","Other"))))))</f>
        <v>Other</v>
      </c>
    </row>
    <row r="708" customFormat="false" ht="15" hidden="false" customHeight="true" outlineLevel="0" collapsed="false">
      <c r="A708" s="12" t="n">
        <v>42344</v>
      </c>
      <c r="B708" s="13" t="n">
        <v>195425.391079595</v>
      </c>
      <c r="C708" s="13" t="n">
        <v>210461.38622249</v>
      </c>
      <c r="D708" s="14" t="n">
        <v>5505</v>
      </c>
      <c r="E708" s="15" t="n">
        <f aca="false">B708/D708</f>
        <v>35.4996169081916</v>
      </c>
      <c r="F708" s="15" t="n">
        <f aca="false">C708/D708</f>
        <v>38.2309511757475</v>
      </c>
      <c r="G708" s="13" t="n">
        <f aca="false">B708-C708</f>
        <v>-15035.995142895</v>
      </c>
      <c r="H708" s="16" t="n">
        <f aca="false">G708/B708</f>
        <v>-0.0769398237344244</v>
      </c>
      <c r="I708" s="15" t="n">
        <f aca="false">G708/D708</f>
        <v>-2.73133426755586</v>
      </c>
      <c r="J708" s="16" t="n">
        <f aca="false">I708/E708</f>
        <v>-0.0769398237344244</v>
      </c>
      <c r="K708" s="17" t="str">
        <f aca="false">TEXT(A708,"dddd")</f>
        <v>Sunday</v>
      </c>
      <c r="L708" s="17" t="str">
        <f aca="false">IF(AND(A708&gt;=DATE(2014,9,24),A708&lt;=DATE(2014,10,6)),"Promo 1",IF(AND(A708&gt;=DATE(2014,9,10),A708&lt;=DATE(2014,9,23)),"Baseline 1",IF(AND(A708&gt;=DATE(2015,9,23),A708&lt;=DATE(2015,10,6)),"Promo 2",IF(AND(A708&gt;=DATE(2015,9,9),A708&lt;=DATE(2015,9,22)),"Baseline 2",IF(AND(A708&gt;=DATE(2016,6,23),A708&lt;=DATE(2016,7,6)),"Promo 3",IF(AND(A708&gt;=DATE(2016,6,9),A708&lt;=DATE(2016,6,22)),"Baseline 3","Other"))))))</f>
        <v>Other</v>
      </c>
    </row>
    <row r="709" customFormat="false" ht="15" hidden="false" customHeight="true" outlineLevel="0" collapsed="false">
      <c r="A709" s="12" t="n">
        <v>42345</v>
      </c>
      <c r="B709" s="13" t="n">
        <v>90441.6033685298</v>
      </c>
      <c r="C709" s="13" t="n">
        <v>83999.5912539369</v>
      </c>
      <c r="D709" s="14" t="n">
        <v>2198</v>
      </c>
      <c r="E709" s="15" t="n">
        <f aca="false">B709/D709</f>
        <v>41.1472262823157</v>
      </c>
      <c r="F709" s="15" t="n">
        <f aca="false">C709/D709</f>
        <v>38.2163745468321</v>
      </c>
      <c r="G709" s="13" t="n">
        <f aca="false">B709-C709</f>
        <v>6442.0121145929</v>
      </c>
      <c r="H709" s="16" t="n">
        <f aca="false">G709/B709</f>
        <v>0.0712284156257503</v>
      </c>
      <c r="I709" s="15" t="n">
        <f aca="false">G709/D709</f>
        <v>2.93085173548358</v>
      </c>
      <c r="J709" s="16" t="n">
        <f aca="false">I709/E709</f>
        <v>0.0712284156257503</v>
      </c>
      <c r="K709" s="17" t="str">
        <f aca="false">TEXT(A709,"dddd")</f>
        <v>Monday</v>
      </c>
      <c r="L709" s="17" t="str">
        <f aca="false">IF(AND(A709&gt;=DATE(2014,9,24),A709&lt;=DATE(2014,10,6)),"Promo 1",IF(AND(A709&gt;=DATE(2014,9,10),A709&lt;=DATE(2014,9,23)),"Baseline 1",IF(AND(A709&gt;=DATE(2015,9,23),A709&lt;=DATE(2015,10,6)),"Promo 2",IF(AND(A709&gt;=DATE(2015,9,9),A709&lt;=DATE(2015,9,22)),"Baseline 2",IF(AND(A709&gt;=DATE(2016,6,23),A709&lt;=DATE(2016,7,6)),"Promo 3",IF(AND(A709&gt;=DATE(2016,6,9),A709&lt;=DATE(2016,6,22)),"Baseline 3","Other"))))))</f>
        <v>Other</v>
      </c>
    </row>
    <row r="710" customFormat="false" ht="15" hidden="false" customHeight="true" outlineLevel="0" collapsed="false">
      <c r="A710" s="12" t="n">
        <v>42346</v>
      </c>
      <c r="B710" s="13" t="n">
        <v>117649.000633013</v>
      </c>
      <c r="C710" s="13" t="n">
        <v>121640.379790237</v>
      </c>
      <c r="D710" s="14" t="n">
        <v>3190</v>
      </c>
      <c r="E710" s="15" t="n">
        <f aca="false">B710/D710</f>
        <v>36.8805644617596</v>
      </c>
      <c r="F710" s="15" t="n">
        <f aca="false">C710/D710</f>
        <v>38.1317804985069</v>
      </c>
      <c r="G710" s="13" t="n">
        <f aca="false">B710-C710</f>
        <v>-3991.379157224</v>
      </c>
      <c r="H710" s="16" t="n">
        <f aca="false">G710/B710</f>
        <v>-0.0339261628721732</v>
      </c>
      <c r="I710" s="15" t="n">
        <f aca="false">G710/D710</f>
        <v>-1.25121603674734</v>
      </c>
      <c r="J710" s="16" t="n">
        <f aca="false">I710/E710</f>
        <v>-0.0339261628721732</v>
      </c>
      <c r="K710" s="17" t="str">
        <f aca="false">TEXT(A710,"dddd")</f>
        <v>Tuesday</v>
      </c>
      <c r="L710" s="17" t="str">
        <f aca="false">IF(AND(A710&gt;=DATE(2014,9,24),A710&lt;=DATE(2014,10,6)),"Promo 1",IF(AND(A710&gt;=DATE(2014,9,10),A710&lt;=DATE(2014,9,23)),"Baseline 1",IF(AND(A710&gt;=DATE(2015,9,23),A710&lt;=DATE(2015,10,6)),"Promo 2",IF(AND(A710&gt;=DATE(2015,9,9),A710&lt;=DATE(2015,9,22)),"Baseline 2",IF(AND(A710&gt;=DATE(2016,6,23),A710&lt;=DATE(2016,7,6)),"Promo 3",IF(AND(A710&gt;=DATE(2016,6,9),A710&lt;=DATE(2016,6,22)),"Baseline 3","Other"))))))</f>
        <v>Other</v>
      </c>
    </row>
    <row r="711" customFormat="false" ht="15" hidden="false" customHeight="true" outlineLevel="0" collapsed="false">
      <c r="A711" s="12" t="n">
        <v>42347</v>
      </c>
      <c r="B711" s="13" t="n">
        <v>141285.395456714</v>
      </c>
      <c r="C711" s="13" t="n">
        <v>145443.046591834</v>
      </c>
      <c r="D711" s="14" t="n">
        <v>3814</v>
      </c>
      <c r="E711" s="15" t="n">
        <f aca="false">B711/D711</f>
        <v>37.0438897369465</v>
      </c>
      <c r="F711" s="15" t="n">
        <f aca="false">C711/D711</f>
        <v>38.1339922894164</v>
      </c>
      <c r="G711" s="13" t="n">
        <f aca="false">B711-C711</f>
        <v>-4157.65113511999</v>
      </c>
      <c r="H711" s="16" t="n">
        <f aca="false">G711/B711</f>
        <v>-0.0294273241878972</v>
      </c>
      <c r="I711" s="15" t="n">
        <f aca="false">G711/D711</f>
        <v>-1.09010255246984</v>
      </c>
      <c r="J711" s="16" t="n">
        <f aca="false">I711/E711</f>
        <v>-0.0294273241878972</v>
      </c>
      <c r="K711" s="17" t="str">
        <f aca="false">TEXT(A711,"dddd")</f>
        <v>Wednesday</v>
      </c>
      <c r="L711" s="17" t="str">
        <f aca="false">IF(AND(A711&gt;=DATE(2014,9,24),A711&lt;=DATE(2014,10,6)),"Promo 1",IF(AND(A711&gt;=DATE(2014,9,10),A711&lt;=DATE(2014,9,23)),"Baseline 1",IF(AND(A711&gt;=DATE(2015,9,23),A711&lt;=DATE(2015,10,6)),"Promo 2",IF(AND(A711&gt;=DATE(2015,9,9),A711&lt;=DATE(2015,9,22)),"Baseline 2",IF(AND(A711&gt;=DATE(2016,6,23),A711&lt;=DATE(2016,7,6)),"Promo 3",IF(AND(A711&gt;=DATE(2016,6,9),A711&lt;=DATE(2016,6,22)),"Baseline 3","Other"))))))</f>
        <v>Other</v>
      </c>
    </row>
    <row r="712" customFormat="false" ht="15" hidden="false" customHeight="true" outlineLevel="0" collapsed="false">
      <c r="A712" s="12" t="n">
        <v>42348</v>
      </c>
      <c r="B712" s="13" t="n">
        <v>133183.693680194</v>
      </c>
      <c r="C712" s="13" t="n">
        <v>137725.876110448</v>
      </c>
      <c r="D712" s="14" t="n">
        <v>3610</v>
      </c>
      <c r="E712" s="15" t="n">
        <f aca="false">B712/D712</f>
        <v>36.8929899391119</v>
      </c>
      <c r="F712" s="15" t="n">
        <f aca="false">C712/D712</f>
        <v>38.1512122189607</v>
      </c>
      <c r="G712" s="13" t="n">
        <f aca="false">B712-C712</f>
        <v>-4542.182430254</v>
      </c>
      <c r="H712" s="16" t="n">
        <f aca="false">G712/B712</f>
        <v>-0.0341046437798975</v>
      </c>
      <c r="I712" s="15" t="n">
        <f aca="false">G712/D712</f>
        <v>-1.25822227984875</v>
      </c>
      <c r="J712" s="16" t="n">
        <f aca="false">I712/E712</f>
        <v>-0.0341046437798975</v>
      </c>
      <c r="K712" s="17" t="str">
        <f aca="false">TEXT(A712,"dddd")</f>
        <v>Thursday</v>
      </c>
      <c r="L712" s="17" t="str">
        <f aca="false">IF(AND(A712&gt;=DATE(2014,9,24),A712&lt;=DATE(2014,10,6)),"Promo 1",IF(AND(A712&gt;=DATE(2014,9,10),A712&lt;=DATE(2014,9,23)),"Baseline 1",IF(AND(A712&gt;=DATE(2015,9,23),A712&lt;=DATE(2015,10,6)),"Promo 2",IF(AND(A712&gt;=DATE(2015,9,9),A712&lt;=DATE(2015,9,22)),"Baseline 2",IF(AND(A712&gt;=DATE(2016,6,23),A712&lt;=DATE(2016,7,6)),"Promo 3",IF(AND(A712&gt;=DATE(2016,6,9),A712&lt;=DATE(2016,6,22)),"Baseline 3","Other"))))))</f>
        <v>Other</v>
      </c>
    </row>
    <row r="713" customFormat="false" ht="15" hidden="false" customHeight="true" outlineLevel="0" collapsed="false">
      <c r="A713" s="12" t="n">
        <v>42349</v>
      </c>
      <c r="B713" s="13" t="n">
        <v>229672.256320392</v>
      </c>
      <c r="C713" s="13" t="n">
        <v>237672.016416796</v>
      </c>
      <c r="D713" s="14" t="n">
        <v>6227</v>
      </c>
      <c r="E713" s="15" t="n">
        <f aca="false">B713/D713</f>
        <v>36.8832915240713</v>
      </c>
      <c r="F713" s="15" t="n">
        <f aca="false">C713/D713</f>
        <v>38.1679807960167</v>
      </c>
      <c r="G713" s="13" t="n">
        <f aca="false">B713-C713</f>
        <v>-7999.76009640397</v>
      </c>
      <c r="H713" s="16" t="n">
        <f aca="false">G713/B713</f>
        <v>-0.0348311991381507</v>
      </c>
      <c r="I713" s="15" t="n">
        <f aca="false">G713/D713</f>
        <v>-1.28468927194539</v>
      </c>
      <c r="J713" s="16" t="n">
        <f aca="false">I713/E713</f>
        <v>-0.0348311991381507</v>
      </c>
      <c r="K713" s="17" t="str">
        <f aca="false">TEXT(A713,"dddd")</f>
        <v>Friday</v>
      </c>
      <c r="L713" s="17" t="str">
        <f aca="false">IF(AND(A713&gt;=DATE(2014,9,24),A713&lt;=DATE(2014,10,6)),"Promo 1",IF(AND(A713&gt;=DATE(2014,9,10),A713&lt;=DATE(2014,9,23)),"Baseline 1",IF(AND(A713&gt;=DATE(2015,9,23),A713&lt;=DATE(2015,10,6)),"Promo 2",IF(AND(A713&gt;=DATE(2015,9,9),A713&lt;=DATE(2015,9,22)),"Baseline 2",IF(AND(A713&gt;=DATE(2016,6,23),A713&lt;=DATE(2016,7,6)),"Promo 3",IF(AND(A713&gt;=DATE(2016,6,9),A713&lt;=DATE(2016,6,22)),"Baseline 3","Other"))))))</f>
        <v>Other</v>
      </c>
    </row>
    <row r="714" customFormat="false" ht="15" hidden="false" customHeight="true" outlineLevel="0" collapsed="false">
      <c r="A714" s="12" t="n">
        <v>42350</v>
      </c>
      <c r="B714" s="13" t="n">
        <v>333488.79787882</v>
      </c>
      <c r="C714" s="13" t="n">
        <v>359621.074893737</v>
      </c>
      <c r="D714" s="14" t="n">
        <v>9422</v>
      </c>
      <c r="E714" s="15" t="n">
        <f aca="false">B714/D714</f>
        <v>35.3946930459372</v>
      </c>
      <c r="F714" s="15" t="n">
        <f aca="false">C714/D714</f>
        <v>38.1682312559687</v>
      </c>
      <c r="G714" s="13" t="n">
        <f aca="false">B714-C714</f>
        <v>-26132.277014917</v>
      </c>
      <c r="H714" s="16" t="n">
        <f aca="false">G714/B714</f>
        <v>-0.0783602843067991</v>
      </c>
      <c r="I714" s="15" t="n">
        <f aca="false">G714/D714</f>
        <v>-2.77353821003152</v>
      </c>
      <c r="J714" s="16" t="n">
        <f aca="false">I714/E714</f>
        <v>-0.0783602843067991</v>
      </c>
      <c r="K714" s="17" t="str">
        <f aca="false">TEXT(A714,"dddd")</f>
        <v>Saturday</v>
      </c>
      <c r="L714" s="17" t="str">
        <f aca="false">IF(AND(A714&gt;=DATE(2014,9,24),A714&lt;=DATE(2014,10,6)),"Promo 1",IF(AND(A714&gt;=DATE(2014,9,10),A714&lt;=DATE(2014,9,23)),"Baseline 1",IF(AND(A714&gt;=DATE(2015,9,23),A714&lt;=DATE(2015,10,6)),"Promo 2",IF(AND(A714&gt;=DATE(2015,9,9),A714&lt;=DATE(2015,9,22)),"Baseline 2",IF(AND(A714&gt;=DATE(2016,6,23),A714&lt;=DATE(2016,7,6)),"Promo 3",IF(AND(A714&gt;=DATE(2016,6,9),A714&lt;=DATE(2016,6,22)),"Baseline 3","Other"))))))</f>
        <v>Other</v>
      </c>
    </row>
    <row r="715" customFormat="false" ht="15" hidden="false" customHeight="true" outlineLevel="0" collapsed="false">
      <c r="A715" s="12" t="n">
        <v>42351</v>
      </c>
      <c r="B715" s="13" t="n">
        <v>185422.885636104</v>
      </c>
      <c r="C715" s="13" t="n">
        <v>191390.401310313</v>
      </c>
      <c r="D715" s="14" t="n">
        <v>5014</v>
      </c>
      <c r="E715" s="15" t="n">
        <f aca="false">B715/D715</f>
        <v>36.9810302425417</v>
      </c>
      <c r="F715" s="15" t="n">
        <f aca="false">C715/D715</f>
        <v>38.1712008995439</v>
      </c>
      <c r="G715" s="13" t="n">
        <f aca="false">B715-C715</f>
        <v>-5967.51567420899</v>
      </c>
      <c r="H715" s="16" t="n">
        <f aca="false">G715/B715</f>
        <v>-0.0321832747545541</v>
      </c>
      <c r="I715" s="15" t="n">
        <f aca="false">G715/D715</f>
        <v>-1.19017065700219</v>
      </c>
      <c r="J715" s="16" t="n">
        <f aca="false">I715/E715</f>
        <v>-0.0321832747545541</v>
      </c>
      <c r="K715" s="17" t="str">
        <f aca="false">TEXT(A715,"dddd")</f>
        <v>Sunday</v>
      </c>
      <c r="L715" s="17" t="str">
        <f aca="false">IF(AND(A715&gt;=DATE(2014,9,24),A715&lt;=DATE(2014,10,6)),"Promo 1",IF(AND(A715&gt;=DATE(2014,9,10),A715&lt;=DATE(2014,9,23)),"Baseline 1",IF(AND(A715&gt;=DATE(2015,9,23),A715&lt;=DATE(2015,10,6)),"Promo 2",IF(AND(A715&gt;=DATE(2015,9,9),A715&lt;=DATE(2015,9,22)),"Baseline 2",IF(AND(A715&gt;=DATE(2016,6,23),A715&lt;=DATE(2016,7,6)),"Promo 3",IF(AND(A715&gt;=DATE(2016,6,9),A715&lt;=DATE(2016,6,22)),"Baseline 3","Other"))))))</f>
        <v>Other</v>
      </c>
    </row>
    <row r="716" customFormat="false" ht="15" hidden="false" customHeight="true" outlineLevel="0" collapsed="false">
      <c r="A716" s="12" t="n">
        <v>42352</v>
      </c>
      <c r="B716" s="13" t="n">
        <v>173833.133168424</v>
      </c>
      <c r="C716" s="13" t="n">
        <v>179871.053299424</v>
      </c>
      <c r="D716" s="14" t="n">
        <v>4715</v>
      </c>
      <c r="E716" s="15" t="n">
        <f aca="false">B716/D716</f>
        <v>36.8681088374176</v>
      </c>
      <c r="F716" s="15" t="n">
        <f aca="false">C716/D716</f>
        <v>38.1486857474918</v>
      </c>
      <c r="G716" s="13" t="n">
        <f aca="false">B716-C716</f>
        <v>-6037.92013099999</v>
      </c>
      <c r="H716" s="16" t="n">
        <f aca="false">G716/B716</f>
        <v>-0.0347340004805065</v>
      </c>
      <c r="I716" s="15" t="n">
        <f aca="false">G716/D716</f>
        <v>-1.28057691007423</v>
      </c>
      <c r="J716" s="16" t="n">
        <f aca="false">I716/E716</f>
        <v>-0.0347340004805065</v>
      </c>
      <c r="K716" s="17" t="str">
        <f aca="false">TEXT(A716,"dddd")</f>
        <v>Monday</v>
      </c>
      <c r="L716" s="17" t="str">
        <f aca="false">IF(AND(A716&gt;=DATE(2014,9,24),A716&lt;=DATE(2014,10,6)),"Promo 1",IF(AND(A716&gt;=DATE(2014,9,10),A716&lt;=DATE(2014,9,23)),"Baseline 1",IF(AND(A716&gt;=DATE(2015,9,23),A716&lt;=DATE(2015,10,6)),"Promo 2",IF(AND(A716&gt;=DATE(2015,9,9),A716&lt;=DATE(2015,9,22)),"Baseline 2",IF(AND(A716&gt;=DATE(2016,6,23),A716&lt;=DATE(2016,7,6)),"Promo 3",IF(AND(A716&gt;=DATE(2016,6,9),A716&lt;=DATE(2016,6,22)),"Baseline 3","Other"))))))</f>
        <v>Other</v>
      </c>
    </row>
    <row r="717" customFormat="false" ht="15" hidden="false" customHeight="true" outlineLevel="0" collapsed="false">
      <c r="A717" s="12" t="n">
        <v>42353</v>
      </c>
      <c r="B717" s="13" t="n">
        <v>220271.721385245</v>
      </c>
      <c r="C717" s="13" t="n">
        <v>237123.343340105</v>
      </c>
      <c r="D717" s="14" t="n">
        <v>6212</v>
      </c>
      <c r="E717" s="15" t="n">
        <f aca="false">B717/D717</f>
        <v>35.4590665462403</v>
      </c>
      <c r="F717" s="15" t="n">
        <f aca="false">C717/D717</f>
        <v>38.17181959757</v>
      </c>
      <c r="G717" s="13" t="n">
        <f aca="false">B717-C717</f>
        <v>-16851.62195486</v>
      </c>
      <c r="H717" s="16" t="n">
        <f aca="false">G717/B717</f>
        <v>-0.0765037919932867</v>
      </c>
      <c r="I717" s="15" t="n">
        <f aca="false">G717/D717</f>
        <v>-2.71275305132968</v>
      </c>
      <c r="J717" s="16" t="n">
        <f aca="false">I717/E717</f>
        <v>-0.0765037919932867</v>
      </c>
      <c r="K717" s="17" t="str">
        <f aca="false">TEXT(A717,"dddd")</f>
        <v>Tuesday</v>
      </c>
      <c r="L717" s="17" t="str">
        <f aca="false">IF(AND(A717&gt;=DATE(2014,9,24),A717&lt;=DATE(2014,10,6)),"Promo 1",IF(AND(A717&gt;=DATE(2014,9,10),A717&lt;=DATE(2014,9,23)),"Baseline 1",IF(AND(A717&gt;=DATE(2015,9,23),A717&lt;=DATE(2015,10,6)),"Promo 2",IF(AND(A717&gt;=DATE(2015,9,9),A717&lt;=DATE(2015,9,22)),"Baseline 2",IF(AND(A717&gt;=DATE(2016,6,23),A717&lt;=DATE(2016,7,6)),"Promo 3",IF(AND(A717&gt;=DATE(2016,6,9),A717&lt;=DATE(2016,6,22)),"Baseline 3","Other"))))))</f>
        <v>Other</v>
      </c>
    </row>
    <row r="718" customFormat="false" ht="15" hidden="false" customHeight="true" outlineLevel="0" collapsed="false">
      <c r="A718" s="12" t="n">
        <v>42354</v>
      </c>
      <c r="B718" s="13" t="n">
        <v>234468.071195286</v>
      </c>
      <c r="C718" s="13" t="n">
        <v>251493.90890013</v>
      </c>
      <c r="D718" s="14" t="n">
        <v>6585</v>
      </c>
      <c r="E718" s="15" t="n">
        <f aca="false">B718/D718</f>
        <v>35.6063889438551</v>
      </c>
      <c r="F718" s="15" t="n">
        <f aca="false">C718/D718</f>
        <v>38.1919375702551</v>
      </c>
      <c r="G718" s="13" t="n">
        <f aca="false">B718-C718</f>
        <v>-17025.837704844</v>
      </c>
      <c r="H718" s="16" t="n">
        <f aca="false">G718/B718</f>
        <v>-0.0726147386211206</v>
      </c>
      <c r="I718" s="15" t="n">
        <f aca="false">G718/D718</f>
        <v>-2.5855486264</v>
      </c>
      <c r="J718" s="16" t="n">
        <f aca="false">I718/E718</f>
        <v>-0.0726147386211206</v>
      </c>
      <c r="K718" s="17" t="str">
        <f aca="false">TEXT(A718,"dddd")</f>
        <v>Wednesday</v>
      </c>
      <c r="L718" s="17" t="str">
        <f aca="false">IF(AND(A718&gt;=DATE(2014,9,24),A718&lt;=DATE(2014,10,6)),"Promo 1",IF(AND(A718&gt;=DATE(2014,9,10),A718&lt;=DATE(2014,9,23)),"Baseline 1",IF(AND(A718&gt;=DATE(2015,9,23),A718&lt;=DATE(2015,10,6)),"Promo 2",IF(AND(A718&gt;=DATE(2015,9,9),A718&lt;=DATE(2015,9,22)),"Baseline 2",IF(AND(A718&gt;=DATE(2016,6,23),A718&lt;=DATE(2016,7,6)),"Promo 3",IF(AND(A718&gt;=DATE(2016,6,9),A718&lt;=DATE(2016,6,22)),"Baseline 3","Other"))))))</f>
        <v>Other</v>
      </c>
    </row>
    <row r="719" customFormat="false" ht="15" hidden="false" customHeight="true" outlineLevel="0" collapsed="false">
      <c r="A719" s="12" t="n">
        <v>42355</v>
      </c>
      <c r="B719" s="13" t="n">
        <v>213778.138050305</v>
      </c>
      <c r="C719" s="13" t="n">
        <v>230994.35519886</v>
      </c>
      <c r="D719" s="14" t="n">
        <v>6051</v>
      </c>
      <c r="E719" s="15" t="n">
        <f aca="false">B719/D719</f>
        <v>35.3293898612304</v>
      </c>
      <c r="F719" s="15" t="n">
        <f aca="false">C719/D719</f>
        <v>38.1745753096777</v>
      </c>
      <c r="G719" s="13" t="n">
        <f aca="false">B719-C719</f>
        <v>-17216.217148555</v>
      </c>
      <c r="H719" s="16" t="n">
        <f aca="false">G719/B719</f>
        <v>-0.0805331045801502</v>
      </c>
      <c r="I719" s="15" t="n">
        <f aca="false">G719/D719</f>
        <v>-2.84518544844737</v>
      </c>
      <c r="J719" s="16" t="n">
        <f aca="false">I719/E719</f>
        <v>-0.0805331045801502</v>
      </c>
      <c r="K719" s="17" t="str">
        <f aca="false">TEXT(A719,"dddd")</f>
        <v>Thursday</v>
      </c>
      <c r="L719" s="17" t="str">
        <f aca="false">IF(AND(A719&gt;=DATE(2014,9,24),A719&lt;=DATE(2014,10,6)),"Promo 1",IF(AND(A719&gt;=DATE(2014,9,10),A719&lt;=DATE(2014,9,23)),"Baseline 1",IF(AND(A719&gt;=DATE(2015,9,23),A719&lt;=DATE(2015,10,6)),"Promo 2",IF(AND(A719&gt;=DATE(2015,9,9),A719&lt;=DATE(2015,9,22)),"Baseline 2",IF(AND(A719&gt;=DATE(2016,6,23),A719&lt;=DATE(2016,7,6)),"Promo 3",IF(AND(A719&gt;=DATE(2016,6,9),A719&lt;=DATE(2016,6,22)),"Baseline 3","Other"))))))</f>
        <v>Other</v>
      </c>
    </row>
    <row r="720" customFormat="false" ht="15" hidden="false" customHeight="true" outlineLevel="0" collapsed="false">
      <c r="A720" s="12" t="n">
        <v>42356</v>
      </c>
      <c r="B720" s="13" t="n">
        <v>273563.014796294</v>
      </c>
      <c r="C720" s="13" t="n">
        <v>295854.552315992</v>
      </c>
      <c r="D720" s="14" t="n">
        <v>7750</v>
      </c>
      <c r="E720" s="15" t="n">
        <f aca="false">B720/D720</f>
        <v>35.2984535221025</v>
      </c>
      <c r="F720" s="15" t="n">
        <f aca="false">C720/D720</f>
        <v>38.174780943999</v>
      </c>
      <c r="G720" s="13" t="n">
        <f aca="false">B720-C720</f>
        <v>-22291.537519698</v>
      </c>
      <c r="H720" s="16" t="n">
        <f aca="false">G720/B720</f>
        <v>-0.0814859330903968</v>
      </c>
      <c r="I720" s="15" t="n">
        <f aca="false">G720/D720</f>
        <v>-2.87632742189652</v>
      </c>
      <c r="J720" s="16" t="n">
        <f aca="false">I720/E720</f>
        <v>-0.0814859330903968</v>
      </c>
      <c r="K720" s="17" t="str">
        <f aca="false">TEXT(A720,"dddd")</f>
        <v>Friday</v>
      </c>
      <c r="L720" s="17" t="str">
        <f aca="false">IF(AND(A720&gt;=DATE(2014,9,24),A720&lt;=DATE(2014,10,6)),"Promo 1",IF(AND(A720&gt;=DATE(2014,9,10),A720&lt;=DATE(2014,9,23)),"Baseline 1",IF(AND(A720&gt;=DATE(2015,9,23),A720&lt;=DATE(2015,10,6)),"Promo 2",IF(AND(A720&gt;=DATE(2015,9,9),A720&lt;=DATE(2015,9,22)),"Baseline 2",IF(AND(A720&gt;=DATE(2016,6,23),A720&lt;=DATE(2016,7,6)),"Promo 3",IF(AND(A720&gt;=DATE(2016,6,9),A720&lt;=DATE(2016,6,22)),"Baseline 3","Other"))))))</f>
        <v>Other</v>
      </c>
    </row>
    <row r="721" customFormat="false" ht="15" hidden="false" customHeight="true" outlineLevel="0" collapsed="false">
      <c r="A721" s="12" t="n">
        <v>42357</v>
      </c>
      <c r="B721" s="13" t="n">
        <v>337506.78841922</v>
      </c>
      <c r="C721" s="13" t="n">
        <v>362223.160876709</v>
      </c>
      <c r="D721" s="14" t="n">
        <v>9490</v>
      </c>
      <c r="E721" s="15" t="n">
        <f aca="false">B721/D721</f>
        <v>35.5644666405922</v>
      </c>
      <c r="F721" s="15" t="n">
        <f aca="false">C721/D721</f>
        <v>38.1689315992317</v>
      </c>
      <c r="G721" s="13" t="n">
        <f aca="false">B721-C721</f>
        <v>-24716.372457489</v>
      </c>
      <c r="H721" s="16" t="n">
        <f aca="false">G721/B721</f>
        <v>-0.0732322231895038</v>
      </c>
      <c r="I721" s="15" t="n">
        <f aca="false">G721/D721</f>
        <v>-2.60446495863951</v>
      </c>
      <c r="J721" s="16" t="n">
        <f aca="false">I721/E721</f>
        <v>-0.0732322231895038</v>
      </c>
      <c r="K721" s="17" t="str">
        <f aca="false">TEXT(A721,"dddd")</f>
        <v>Saturday</v>
      </c>
      <c r="L721" s="17" t="str">
        <f aca="false">IF(AND(A721&gt;=DATE(2014,9,24),A721&lt;=DATE(2014,10,6)),"Promo 1",IF(AND(A721&gt;=DATE(2014,9,10),A721&lt;=DATE(2014,9,23)),"Baseline 1",IF(AND(A721&gt;=DATE(2015,9,23),A721&lt;=DATE(2015,10,6)),"Promo 2",IF(AND(A721&gt;=DATE(2015,9,9),A721&lt;=DATE(2015,9,22)),"Baseline 2",IF(AND(A721&gt;=DATE(2016,6,23),A721&lt;=DATE(2016,7,6)),"Promo 3",IF(AND(A721&gt;=DATE(2016,6,9),A721&lt;=DATE(2016,6,22)),"Baseline 3","Other"))))))</f>
        <v>Other</v>
      </c>
    </row>
    <row r="722" customFormat="false" ht="15" hidden="false" customHeight="true" outlineLevel="0" collapsed="false">
      <c r="A722" s="12" t="n">
        <v>42358</v>
      </c>
      <c r="B722" s="13" t="n">
        <v>155312.783862166</v>
      </c>
      <c r="C722" s="13" t="n">
        <v>167421.973695171</v>
      </c>
      <c r="D722" s="14" t="n">
        <v>4382</v>
      </c>
      <c r="E722" s="15" t="n">
        <f aca="false">B722/D722</f>
        <v>35.4433555139585</v>
      </c>
      <c r="F722" s="15" t="n">
        <f aca="false">C722/D722</f>
        <v>38.2067489035078</v>
      </c>
      <c r="G722" s="13" t="n">
        <f aca="false">B722-C722</f>
        <v>-12109.189833005</v>
      </c>
      <c r="H722" s="16" t="n">
        <f aca="false">G722/B722</f>
        <v>-0.0779664721208748</v>
      </c>
      <c r="I722" s="15" t="n">
        <f aca="false">G722/D722</f>
        <v>-2.7633933895493</v>
      </c>
      <c r="J722" s="16" t="n">
        <f aca="false">I722/E722</f>
        <v>-0.0779664721208748</v>
      </c>
      <c r="K722" s="17" t="str">
        <f aca="false">TEXT(A722,"dddd")</f>
        <v>Sunday</v>
      </c>
      <c r="L722" s="17" t="str">
        <f aca="false">IF(AND(A722&gt;=DATE(2014,9,24),A722&lt;=DATE(2014,10,6)),"Promo 1",IF(AND(A722&gt;=DATE(2014,9,10),A722&lt;=DATE(2014,9,23)),"Baseline 1",IF(AND(A722&gt;=DATE(2015,9,23),A722&lt;=DATE(2015,10,6)),"Promo 2",IF(AND(A722&gt;=DATE(2015,9,9),A722&lt;=DATE(2015,9,22)),"Baseline 2",IF(AND(A722&gt;=DATE(2016,6,23),A722&lt;=DATE(2016,7,6)),"Promo 3",IF(AND(A722&gt;=DATE(2016,6,9),A722&lt;=DATE(2016,6,22)),"Baseline 3","Other"))))))</f>
        <v>Other</v>
      </c>
    </row>
    <row r="723" customFormat="false" ht="15" hidden="false" customHeight="true" outlineLevel="0" collapsed="false">
      <c r="A723" s="12" t="n">
        <v>42359</v>
      </c>
      <c r="B723" s="13" t="n">
        <v>289243.383056198</v>
      </c>
      <c r="C723" s="13" t="n">
        <v>312784.974318394</v>
      </c>
      <c r="D723" s="14" t="n">
        <v>8196</v>
      </c>
      <c r="E723" s="15" t="n">
        <f aca="false">B723/D723</f>
        <v>35.2907983231086</v>
      </c>
      <c r="F723" s="15" t="n">
        <f aca="false">C723/D723</f>
        <v>38.1631252218636</v>
      </c>
      <c r="G723" s="13" t="n">
        <f aca="false">B723-C723</f>
        <v>-23541.591262196</v>
      </c>
      <c r="H723" s="16" t="n">
        <f aca="false">G723/B723</f>
        <v>-0.0813902500152337</v>
      </c>
      <c r="I723" s="15" t="n">
        <f aca="false">G723/D723</f>
        <v>-2.872326898755</v>
      </c>
      <c r="J723" s="16" t="n">
        <f aca="false">I723/E723</f>
        <v>-0.0813902500152337</v>
      </c>
      <c r="K723" s="17" t="str">
        <f aca="false">TEXT(A723,"dddd")</f>
        <v>Monday</v>
      </c>
      <c r="L723" s="17" t="str">
        <f aca="false">IF(AND(A723&gt;=DATE(2014,9,24),A723&lt;=DATE(2014,10,6)),"Promo 1",IF(AND(A723&gt;=DATE(2014,9,10),A723&lt;=DATE(2014,9,23)),"Baseline 1",IF(AND(A723&gt;=DATE(2015,9,23),A723&lt;=DATE(2015,10,6)),"Promo 2",IF(AND(A723&gt;=DATE(2015,9,9),A723&lt;=DATE(2015,9,22)),"Baseline 2",IF(AND(A723&gt;=DATE(2016,6,23),A723&lt;=DATE(2016,7,6)),"Promo 3",IF(AND(A723&gt;=DATE(2016,6,9),A723&lt;=DATE(2016,6,22)),"Baseline 3","Other"))))))</f>
        <v>Other</v>
      </c>
    </row>
    <row r="724" customFormat="false" ht="15" hidden="false" customHeight="true" outlineLevel="0" collapsed="false">
      <c r="A724" s="12" t="n">
        <v>42360</v>
      </c>
      <c r="B724" s="13" t="n">
        <v>313125.332532518</v>
      </c>
      <c r="C724" s="13" t="n">
        <v>338299.617845486</v>
      </c>
      <c r="D724" s="14" t="n">
        <v>8863</v>
      </c>
      <c r="E724" s="15" t="n">
        <f aca="false">B724/D724</f>
        <v>35.329497070125</v>
      </c>
      <c r="F724" s="15" t="n">
        <f aca="false">C724/D724</f>
        <v>38.1698767737206</v>
      </c>
      <c r="G724" s="13" t="n">
        <f aca="false">B724-C724</f>
        <v>-25174.285312968</v>
      </c>
      <c r="H724" s="16" t="n">
        <f aca="false">G724/B724</f>
        <v>-0.0803968337833338</v>
      </c>
      <c r="I724" s="15" t="n">
        <f aca="false">G724/D724</f>
        <v>-2.84037970359562</v>
      </c>
      <c r="J724" s="16" t="n">
        <f aca="false">I724/E724</f>
        <v>-0.0803968337833338</v>
      </c>
      <c r="K724" s="17" t="str">
        <f aca="false">TEXT(A724,"dddd")</f>
        <v>Tuesday</v>
      </c>
      <c r="L724" s="17" t="str">
        <f aca="false">IF(AND(A724&gt;=DATE(2014,9,24),A724&lt;=DATE(2014,10,6)),"Promo 1",IF(AND(A724&gt;=DATE(2014,9,10),A724&lt;=DATE(2014,9,23)),"Baseline 1",IF(AND(A724&gt;=DATE(2015,9,23),A724&lt;=DATE(2015,10,6)),"Promo 2",IF(AND(A724&gt;=DATE(2015,9,9),A724&lt;=DATE(2015,9,22)),"Baseline 2",IF(AND(A724&gt;=DATE(2016,6,23),A724&lt;=DATE(2016,7,6)),"Promo 3",IF(AND(A724&gt;=DATE(2016,6,9),A724&lt;=DATE(2016,6,22)),"Baseline 3","Other"))))))</f>
        <v>Other</v>
      </c>
    </row>
    <row r="725" customFormat="false" ht="15" hidden="false" customHeight="true" outlineLevel="0" collapsed="false">
      <c r="A725" s="12" t="n">
        <v>42361</v>
      </c>
      <c r="B725" s="13" t="n">
        <v>268330.392705016</v>
      </c>
      <c r="C725" s="13" t="n">
        <v>249584.215163854</v>
      </c>
      <c r="D725" s="14" t="n">
        <v>6534</v>
      </c>
      <c r="E725" s="15" t="n">
        <f aca="false">B725/D725</f>
        <v>41.0667879866875</v>
      </c>
      <c r="F725" s="15" t="n">
        <f aca="false">C725/D725</f>
        <v>38.1977678548904</v>
      </c>
      <c r="G725" s="13" t="n">
        <f aca="false">B725-C725</f>
        <v>18746.177541162</v>
      </c>
      <c r="H725" s="16" t="n">
        <f aca="false">G725/B725</f>
        <v>0.0698622968206597</v>
      </c>
      <c r="I725" s="15" t="n">
        <f aca="false">G725/D725</f>
        <v>2.86902013179706</v>
      </c>
      <c r="J725" s="16" t="n">
        <f aca="false">I725/E725</f>
        <v>0.0698622968206597</v>
      </c>
      <c r="K725" s="17" t="str">
        <f aca="false">TEXT(A725,"dddd")</f>
        <v>Wednesday</v>
      </c>
      <c r="L725" s="17" t="str">
        <f aca="false">IF(AND(A725&gt;=DATE(2014,9,24),A725&lt;=DATE(2014,10,6)),"Promo 1",IF(AND(A725&gt;=DATE(2014,9,10),A725&lt;=DATE(2014,9,23)),"Baseline 1",IF(AND(A725&gt;=DATE(2015,9,23),A725&lt;=DATE(2015,10,6)),"Promo 2",IF(AND(A725&gt;=DATE(2015,9,9),A725&lt;=DATE(2015,9,22)),"Baseline 2",IF(AND(A725&gt;=DATE(2016,6,23),A725&lt;=DATE(2016,7,6)),"Promo 3",IF(AND(A725&gt;=DATE(2016,6,9),A725&lt;=DATE(2016,6,22)),"Baseline 3","Other"))))))</f>
        <v>Other</v>
      </c>
    </row>
    <row r="726" customFormat="false" ht="15" hidden="false" customHeight="true" outlineLevel="0" collapsed="false">
      <c r="A726" s="12" t="n">
        <v>42362</v>
      </c>
      <c r="B726" s="13" t="n">
        <v>392228.137958482</v>
      </c>
      <c r="C726" s="13" t="n">
        <v>364396.19424888</v>
      </c>
      <c r="D726" s="14" t="n">
        <v>9540</v>
      </c>
      <c r="E726" s="15" t="n">
        <f aca="false">B726/D726</f>
        <v>41.1140605826501</v>
      </c>
      <c r="F726" s="15" t="n">
        <f aca="false">C726/D726</f>
        <v>38.1966660638239</v>
      </c>
      <c r="G726" s="13" t="n">
        <f aca="false">B726-C726</f>
        <v>27831.943709602</v>
      </c>
      <c r="H726" s="16" t="n">
        <f aca="false">G726/B726</f>
        <v>0.0709585596139664</v>
      </c>
      <c r="I726" s="15" t="n">
        <f aca="false">G726/D726</f>
        <v>2.91739451882621</v>
      </c>
      <c r="J726" s="16" t="n">
        <f aca="false">I726/E726</f>
        <v>0.0709585596139664</v>
      </c>
      <c r="K726" s="17" t="str">
        <f aca="false">TEXT(A726,"dddd")</f>
        <v>Thursday</v>
      </c>
      <c r="L726" s="17" t="str">
        <f aca="false">IF(AND(A726&gt;=DATE(2014,9,24),A726&lt;=DATE(2014,10,6)),"Promo 1",IF(AND(A726&gt;=DATE(2014,9,10),A726&lt;=DATE(2014,9,23)),"Baseline 1",IF(AND(A726&gt;=DATE(2015,9,23),A726&lt;=DATE(2015,10,6)),"Promo 2",IF(AND(A726&gt;=DATE(2015,9,9),A726&lt;=DATE(2015,9,22)),"Baseline 2",IF(AND(A726&gt;=DATE(2016,6,23),A726&lt;=DATE(2016,7,6)),"Promo 3",IF(AND(A726&gt;=DATE(2016,6,9),A726&lt;=DATE(2016,6,22)),"Baseline 3","Other"))))))</f>
        <v>Other</v>
      </c>
    </row>
    <row r="727" customFormat="false" ht="15" hidden="false" customHeight="true" outlineLevel="0" collapsed="false">
      <c r="A727" s="12" t="n">
        <v>42363</v>
      </c>
      <c r="B727" s="13" t="n">
        <v>133728.983728851</v>
      </c>
      <c r="C727" s="13" t="n">
        <v>124363.55727661</v>
      </c>
      <c r="D727" s="14" t="n">
        <v>3256</v>
      </c>
      <c r="E727" s="15" t="n">
        <f aca="false">B727/D727</f>
        <v>41.0715551992786</v>
      </c>
      <c r="F727" s="15" t="n">
        <f aca="false">C727/D727</f>
        <v>38.1951957237746</v>
      </c>
      <c r="G727" s="13" t="n">
        <f aca="false">B727-C727</f>
        <v>9365.42645224099</v>
      </c>
      <c r="H727" s="16" t="n">
        <f aca="false">G727/B727</f>
        <v>0.0700328843538536</v>
      </c>
      <c r="I727" s="15" t="n">
        <f aca="false">G727/D727</f>
        <v>2.87635947550399</v>
      </c>
      <c r="J727" s="16" t="n">
        <f aca="false">I727/E727</f>
        <v>0.0700328843538536</v>
      </c>
      <c r="K727" s="17" t="str">
        <f aca="false">TEXT(A727,"dddd")</f>
        <v>Friday</v>
      </c>
      <c r="L727" s="17" t="str">
        <f aca="false">IF(AND(A727&gt;=DATE(2014,9,24),A727&lt;=DATE(2014,10,6)),"Promo 1",IF(AND(A727&gt;=DATE(2014,9,10),A727&lt;=DATE(2014,9,23)),"Baseline 1",IF(AND(A727&gt;=DATE(2015,9,23),A727&lt;=DATE(2015,10,6)),"Promo 2",IF(AND(A727&gt;=DATE(2015,9,9),A727&lt;=DATE(2015,9,22)),"Baseline 2",IF(AND(A727&gt;=DATE(2016,6,23),A727&lt;=DATE(2016,7,6)),"Promo 3",IF(AND(A727&gt;=DATE(2016,6,9),A727&lt;=DATE(2016,6,22)),"Baseline 3","Other"))))))</f>
        <v>Other</v>
      </c>
    </row>
    <row r="728" customFormat="false" ht="15" hidden="false" customHeight="true" outlineLevel="0" collapsed="false">
      <c r="A728" s="12" t="n">
        <v>42364</v>
      </c>
      <c r="B728" s="13" t="n">
        <v>82778.4440483104</v>
      </c>
      <c r="C728" s="13" t="n">
        <v>76876.4926983143</v>
      </c>
      <c r="D728" s="14" t="n">
        <v>2013</v>
      </c>
      <c r="E728" s="15" t="n">
        <f aca="false">B728/D728</f>
        <v>41.1219294825188</v>
      </c>
      <c r="F728" s="15" t="n">
        <f aca="false">C728/D728</f>
        <v>38.190011275864</v>
      </c>
      <c r="G728" s="13" t="n">
        <f aca="false">B728-C728</f>
        <v>5901.9513499961</v>
      </c>
      <c r="H728" s="16" t="n">
        <f aca="false">G728/B728</f>
        <v>0.0712981672686631</v>
      </c>
      <c r="I728" s="15" t="n">
        <f aca="false">G728/D728</f>
        <v>2.9319182066548</v>
      </c>
      <c r="J728" s="16" t="n">
        <f aca="false">I728/E728</f>
        <v>0.0712981672686631</v>
      </c>
      <c r="K728" s="17" t="str">
        <f aca="false">TEXT(A728,"dddd")</f>
        <v>Saturday</v>
      </c>
      <c r="L728" s="17" t="str">
        <f aca="false">IF(AND(A728&gt;=DATE(2014,9,24),A728&lt;=DATE(2014,10,6)),"Promo 1",IF(AND(A728&gt;=DATE(2014,9,10),A728&lt;=DATE(2014,9,23)),"Baseline 1",IF(AND(A728&gt;=DATE(2015,9,23),A728&lt;=DATE(2015,10,6)),"Promo 2",IF(AND(A728&gt;=DATE(2015,9,9),A728&lt;=DATE(2015,9,22)),"Baseline 2",IF(AND(A728&gt;=DATE(2016,6,23),A728&lt;=DATE(2016,7,6)),"Promo 3",IF(AND(A728&gt;=DATE(2016,6,9),A728&lt;=DATE(2016,6,22)),"Baseline 3","Other"))))))</f>
        <v>Other</v>
      </c>
    </row>
    <row r="729" customFormat="false" ht="15" hidden="false" customHeight="true" outlineLevel="0" collapsed="false">
      <c r="A729" s="12" t="n">
        <v>42365</v>
      </c>
      <c r="B729" s="13" t="n">
        <v>69522.8369739404</v>
      </c>
      <c r="C729" s="13" t="n">
        <v>64616.0766462744</v>
      </c>
      <c r="D729" s="14" t="n">
        <v>1692</v>
      </c>
      <c r="E729" s="15" t="n">
        <f aca="false">B729/D729</f>
        <v>41.0891471477189</v>
      </c>
      <c r="F729" s="15" t="n">
        <f aca="false">C729/D729</f>
        <v>38.1891705947248</v>
      </c>
      <c r="G729" s="13" t="n">
        <f aca="false">B729-C729</f>
        <v>4906.760327666</v>
      </c>
      <c r="H729" s="16" t="n">
        <f aca="false">G729/B729</f>
        <v>0.0705776769366478</v>
      </c>
      <c r="I729" s="15" t="n">
        <f aca="false">G729/D729</f>
        <v>2.89997655299409</v>
      </c>
      <c r="J729" s="16" t="n">
        <f aca="false">I729/E729</f>
        <v>0.0705776769366479</v>
      </c>
      <c r="K729" s="17" t="str">
        <f aca="false">TEXT(A729,"dddd")</f>
        <v>Sunday</v>
      </c>
      <c r="L729" s="17" t="str">
        <f aca="false">IF(AND(A729&gt;=DATE(2014,9,24),A729&lt;=DATE(2014,10,6)),"Promo 1",IF(AND(A729&gt;=DATE(2014,9,10),A729&lt;=DATE(2014,9,23)),"Baseline 1",IF(AND(A729&gt;=DATE(2015,9,23),A729&lt;=DATE(2015,10,6)),"Promo 2",IF(AND(A729&gt;=DATE(2015,9,9),A729&lt;=DATE(2015,9,22)),"Baseline 2",IF(AND(A729&gt;=DATE(2016,6,23),A729&lt;=DATE(2016,7,6)),"Promo 3",IF(AND(A729&gt;=DATE(2016,6,9),A729&lt;=DATE(2016,6,22)),"Baseline 3","Other"))))))</f>
        <v>Other</v>
      </c>
    </row>
    <row r="730" customFormat="false" ht="15" hidden="false" customHeight="true" outlineLevel="0" collapsed="false">
      <c r="A730" s="12" t="n">
        <v>42366</v>
      </c>
      <c r="B730" s="13" t="n">
        <v>133021.272795363</v>
      </c>
      <c r="C730" s="13" t="n">
        <v>123500.787789675</v>
      </c>
      <c r="D730" s="14" t="n">
        <v>3234</v>
      </c>
      <c r="E730" s="15" t="n">
        <f aca="false">B730/D730</f>
        <v>41.1321189843423</v>
      </c>
      <c r="F730" s="15" t="n">
        <f aca="false">C730/D730</f>
        <v>38.188246069782</v>
      </c>
      <c r="G730" s="13" t="n">
        <f aca="false">B730-C730</f>
        <v>9520.48500568801</v>
      </c>
      <c r="H730" s="16" t="n">
        <f aca="false">G730/B730</f>
        <v>0.0715711465213095</v>
      </c>
      <c r="I730" s="15" t="n">
        <f aca="false">G730/D730</f>
        <v>2.9438729145603</v>
      </c>
      <c r="J730" s="16" t="n">
        <f aca="false">I730/E730</f>
        <v>0.0715711465213095</v>
      </c>
      <c r="K730" s="17" t="str">
        <f aca="false">TEXT(A730,"dddd")</f>
        <v>Monday</v>
      </c>
      <c r="L730" s="17" t="str">
        <f aca="false">IF(AND(A730&gt;=DATE(2014,9,24),A730&lt;=DATE(2014,10,6)),"Promo 1",IF(AND(A730&gt;=DATE(2014,9,10),A730&lt;=DATE(2014,9,23)),"Baseline 1",IF(AND(A730&gt;=DATE(2015,9,23),A730&lt;=DATE(2015,10,6)),"Promo 2",IF(AND(A730&gt;=DATE(2015,9,9),A730&lt;=DATE(2015,9,22)),"Baseline 2",IF(AND(A730&gt;=DATE(2016,6,23),A730&lt;=DATE(2016,7,6)),"Promo 3",IF(AND(A730&gt;=DATE(2016,6,9),A730&lt;=DATE(2016,6,22)),"Baseline 3","Other"))))))</f>
        <v>Other</v>
      </c>
    </row>
    <row r="731" customFormat="false" ht="15" hidden="false" customHeight="true" outlineLevel="0" collapsed="false">
      <c r="A731" s="12" t="n">
        <v>42367</v>
      </c>
      <c r="B731" s="13" t="n">
        <v>161267.520591838</v>
      </c>
      <c r="C731" s="13" t="n">
        <v>175378.145915221</v>
      </c>
      <c r="D731" s="14" t="n">
        <v>4592</v>
      </c>
      <c r="E731" s="15" t="n">
        <f aca="false">B731/D731</f>
        <v>35.1192335783619</v>
      </c>
      <c r="F731" s="15" t="n">
        <f aca="false">C731/D731</f>
        <v>38.1921049466945</v>
      </c>
      <c r="G731" s="13" t="n">
        <f aca="false">B731-C731</f>
        <v>-14110.625323383</v>
      </c>
      <c r="H731" s="16" t="n">
        <f aca="false">G731/B731</f>
        <v>-0.0874982468360536</v>
      </c>
      <c r="I731" s="15" t="n">
        <f aca="false">G731/D731</f>
        <v>-3.07287136833253</v>
      </c>
      <c r="J731" s="16" t="n">
        <f aca="false">I731/E731</f>
        <v>-0.0874982468360536</v>
      </c>
      <c r="K731" s="17" t="str">
        <f aca="false">TEXT(A731,"dddd")</f>
        <v>Tuesday</v>
      </c>
      <c r="L731" s="17" t="str">
        <f aca="false">IF(AND(A731&gt;=DATE(2014,9,24),A731&lt;=DATE(2014,10,6)),"Promo 1",IF(AND(A731&gt;=DATE(2014,9,10),A731&lt;=DATE(2014,9,23)),"Baseline 1",IF(AND(A731&gt;=DATE(2015,9,23),A731&lt;=DATE(2015,10,6)),"Promo 2",IF(AND(A731&gt;=DATE(2015,9,9),A731&lt;=DATE(2015,9,22)),"Baseline 2",IF(AND(A731&gt;=DATE(2016,6,23),A731&lt;=DATE(2016,7,6)),"Promo 3",IF(AND(A731&gt;=DATE(2016,6,9),A731&lt;=DATE(2016,6,22)),"Baseline 3","Other"))))))</f>
        <v>Other</v>
      </c>
    </row>
    <row r="732" customFormat="false" ht="15" hidden="false" customHeight="true" outlineLevel="0" collapsed="false">
      <c r="A732" s="12" t="n">
        <v>42368</v>
      </c>
      <c r="B732" s="13" t="n">
        <v>208583.217990355</v>
      </c>
      <c r="C732" s="13" t="n">
        <v>227060.262678494</v>
      </c>
      <c r="D732" s="14" t="n">
        <v>5945</v>
      </c>
      <c r="E732" s="15" t="n">
        <f aca="false">B732/D732</f>
        <v>35.0854866257956</v>
      </c>
      <c r="F732" s="15" t="n">
        <f aca="false">C732/D732</f>
        <v>38.1934840502093</v>
      </c>
      <c r="G732" s="13" t="n">
        <f aca="false">B732-C732</f>
        <v>-18477.044688139</v>
      </c>
      <c r="H732" s="16" t="n">
        <f aca="false">G732/B732</f>
        <v>-0.0885835632711035</v>
      </c>
      <c r="I732" s="15" t="n">
        <f aca="false">G732/D732</f>
        <v>-3.10799742441362</v>
      </c>
      <c r="J732" s="16" t="n">
        <f aca="false">I732/E732</f>
        <v>-0.0885835632711035</v>
      </c>
      <c r="K732" s="17" t="str">
        <f aca="false">TEXT(A732,"dddd")</f>
        <v>Wednesday</v>
      </c>
      <c r="L732" s="17" t="str">
        <f aca="false">IF(AND(A732&gt;=DATE(2014,9,24),A732&lt;=DATE(2014,10,6)),"Promo 1",IF(AND(A732&gt;=DATE(2014,9,10),A732&lt;=DATE(2014,9,23)),"Baseline 1",IF(AND(A732&gt;=DATE(2015,9,23),A732&lt;=DATE(2015,10,6)),"Promo 2",IF(AND(A732&gt;=DATE(2015,9,9),A732&lt;=DATE(2015,9,22)),"Baseline 2",IF(AND(A732&gt;=DATE(2016,6,23),A732&lt;=DATE(2016,7,6)),"Promo 3",IF(AND(A732&gt;=DATE(2016,6,9),A732&lt;=DATE(2016,6,22)),"Baseline 3","Other"))))))</f>
        <v>Other</v>
      </c>
    </row>
    <row r="733" customFormat="false" ht="15" hidden="false" customHeight="true" outlineLevel="0" collapsed="false">
      <c r="A733" s="12" t="n">
        <v>42369</v>
      </c>
      <c r="B733" s="13" t="n">
        <v>325457.525001479</v>
      </c>
      <c r="C733" s="13" t="n">
        <v>353929.738354992</v>
      </c>
      <c r="D733" s="14" t="n">
        <v>9266</v>
      </c>
      <c r="E733" s="15" t="n">
        <f aca="false">B733/D733</f>
        <v>35.1238425427886</v>
      </c>
      <c r="F733" s="15" t="n">
        <f aca="false">C733/D733</f>
        <v>38.19660461418</v>
      </c>
      <c r="G733" s="13" t="n">
        <f aca="false">B733-C733</f>
        <v>-28472.213353513</v>
      </c>
      <c r="H733" s="16" t="n">
        <f aca="false">G733/B733</f>
        <v>-0.0874836535224791</v>
      </c>
      <c r="I733" s="15" t="n">
        <f aca="false">G733/D733</f>
        <v>-3.07276207139143</v>
      </c>
      <c r="J733" s="16" t="n">
        <f aca="false">I733/E733</f>
        <v>-0.0874836535224791</v>
      </c>
      <c r="K733" s="17" t="str">
        <f aca="false">TEXT(A733,"dddd")</f>
        <v>Thursday</v>
      </c>
      <c r="L733" s="17" t="str">
        <f aca="false">IF(AND(A733&gt;=DATE(2014,9,24),A733&lt;=DATE(2014,10,6)),"Promo 1",IF(AND(A733&gt;=DATE(2014,9,10),A733&lt;=DATE(2014,9,23)),"Baseline 1",IF(AND(A733&gt;=DATE(2015,9,23),A733&lt;=DATE(2015,10,6)),"Promo 2",IF(AND(A733&gt;=DATE(2015,9,9),A733&lt;=DATE(2015,9,22)),"Baseline 2",IF(AND(A733&gt;=DATE(2016,6,23),A733&lt;=DATE(2016,7,6)),"Promo 3",IF(AND(A733&gt;=DATE(2016,6,9),A733&lt;=DATE(2016,6,22)),"Baseline 3","Other"))))))</f>
        <v>Other</v>
      </c>
    </row>
    <row r="734" customFormat="false" ht="15" hidden="false" customHeight="true" outlineLevel="0" collapsed="false">
      <c r="A734" s="12" t="n">
        <v>42370</v>
      </c>
      <c r="B734" s="13" t="n">
        <v>111650.239774079</v>
      </c>
      <c r="C734" s="13" t="n">
        <v>121448.283817139</v>
      </c>
      <c r="D734" s="14" t="n">
        <v>3179</v>
      </c>
      <c r="E734" s="15" t="n">
        <f aca="false">B734/D734</f>
        <v>35.1211826908081</v>
      </c>
      <c r="F734" s="15" t="n">
        <f aca="false">C734/D734</f>
        <v>38.2032978348975</v>
      </c>
      <c r="G734" s="13" t="n">
        <f aca="false">B734-C734</f>
        <v>-9798.04404306</v>
      </c>
      <c r="H734" s="16" t="n">
        <f aca="false">G734/B734</f>
        <v>-0.0877565875620693</v>
      </c>
      <c r="I734" s="15" t="n">
        <f aca="false">G734/D734</f>
        <v>-3.08211514408934</v>
      </c>
      <c r="J734" s="16" t="n">
        <f aca="false">I734/E734</f>
        <v>-0.0877565875620693</v>
      </c>
      <c r="K734" s="17" t="str">
        <f aca="false">TEXT(A734,"dddd")</f>
        <v>Friday</v>
      </c>
      <c r="L734" s="17" t="str">
        <f aca="false">IF(AND(A734&gt;=DATE(2014,9,24),A734&lt;=DATE(2014,10,6)),"Promo 1",IF(AND(A734&gt;=DATE(2014,9,10),A734&lt;=DATE(2014,9,23)),"Baseline 1",IF(AND(A734&gt;=DATE(2015,9,23),A734&lt;=DATE(2015,10,6)),"Promo 2",IF(AND(A734&gt;=DATE(2015,9,9),A734&lt;=DATE(2015,9,22)),"Baseline 2",IF(AND(A734&gt;=DATE(2016,6,23),A734&lt;=DATE(2016,7,6)),"Promo 3",IF(AND(A734&gt;=DATE(2016,6,9),A734&lt;=DATE(2016,6,22)),"Baseline 3","Other"))))))</f>
        <v>Other</v>
      </c>
    </row>
    <row r="735" customFormat="false" ht="15" hidden="false" customHeight="true" outlineLevel="0" collapsed="false">
      <c r="A735" s="12" t="n">
        <v>42371</v>
      </c>
      <c r="B735" s="13" t="n">
        <v>262421.281864558</v>
      </c>
      <c r="C735" s="13" t="n">
        <v>285675.845713161</v>
      </c>
      <c r="D735" s="14" t="n">
        <v>7479</v>
      </c>
      <c r="E735" s="15" t="n">
        <f aca="false">B735/D735</f>
        <v>35.0877499484634</v>
      </c>
      <c r="F735" s="15" t="n">
        <f aca="false">C735/D735</f>
        <v>38.1970645424737</v>
      </c>
      <c r="G735" s="13" t="n">
        <f aca="false">B735-C735</f>
        <v>-23254.563848603</v>
      </c>
      <c r="H735" s="16" t="n">
        <f aca="false">G735/B735</f>
        <v>-0.088615388520986</v>
      </c>
      <c r="I735" s="15" t="n">
        <f aca="false">G735/D735</f>
        <v>-3.10931459401029</v>
      </c>
      <c r="J735" s="16" t="n">
        <f aca="false">I735/E735</f>
        <v>-0.088615388520986</v>
      </c>
      <c r="K735" s="17" t="str">
        <f aca="false">TEXT(A735,"dddd")</f>
        <v>Saturday</v>
      </c>
      <c r="L735" s="17" t="str">
        <f aca="false">IF(AND(A735&gt;=DATE(2014,9,24),A735&lt;=DATE(2014,10,6)),"Promo 1",IF(AND(A735&gt;=DATE(2014,9,10),A735&lt;=DATE(2014,9,23)),"Baseline 1",IF(AND(A735&gt;=DATE(2015,9,23),A735&lt;=DATE(2015,10,6)),"Promo 2",IF(AND(A735&gt;=DATE(2015,9,9),A735&lt;=DATE(2015,9,22)),"Baseline 2",IF(AND(A735&gt;=DATE(2016,6,23),A735&lt;=DATE(2016,7,6)),"Promo 3",IF(AND(A735&gt;=DATE(2016,6,9),A735&lt;=DATE(2016,6,22)),"Baseline 3","Other"))))))</f>
        <v>Other</v>
      </c>
    </row>
    <row r="736" customFormat="false" ht="15" hidden="false" customHeight="true" outlineLevel="0" collapsed="false">
      <c r="A736" s="12" t="n">
        <v>42372</v>
      </c>
      <c r="B736" s="13" t="n">
        <v>164527.538913355</v>
      </c>
      <c r="C736" s="13" t="n">
        <v>179308.949530555</v>
      </c>
      <c r="D736" s="14" t="n">
        <v>4694</v>
      </c>
      <c r="E736" s="15" t="n">
        <f aca="false">B736/D736</f>
        <v>35.0506047961983</v>
      </c>
      <c r="F736" s="15" t="n">
        <f aca="false">C736/D736</f>
        <v>38.199605779837</v>
      </c>
      <c r="G736" s="13" t="n">
        <f aca="false">B736-C736</f>
        <v>-14781.4106172</v>
      </c>
      <c r="H736" s="16" t="n">
        <f aca="false">G736/B736</f>
        <v>-0.089841559138524</v>
      </c>
      <c r="I736" s="15" t="n">
        <f aca="false">G736/D736</f>
        <v>-3.14900098363869</v>
      </c>
      <c r="J736" s="16" t="n">
        <f aca="false">I736/E736</f>
        <v>-0.089841559138524</v>
      </c>
      <c r="K736" s="17" t="str">
        <f aca="false">TEXT(A736,"dddd")</f>
        <v>Sunday</v>
      </c>
      <c r="L736" s="17" t="str">
        <f aca="false">IF(AND(A736&gt;=DATE(2014,9,24),A736&lt;=DATE(2014,10,6)),"Promo 1",IF(AND(A736&gt;=DATE(2014,9,10),A736&lt;=DATE(2014,9,23)),"Baseline 1",IF(AND(A736&gt;=DATE(2015,9,23),A736&lt;=DATE(2015,10,6)),"Promo 2",IF(AND(A736&gt;=DATE(2015,9,9),A736&lt;=DATE(2015,9,22)),"Baseline 2",IF(AND(A736&gt;=DATE(2016,6,23),A736&lt;=DATE(2016,7,6)),"Promo 3",IF(AND(A736&gt;=DATE(2016,6,9),A736&lt;=DATE(2016,6,22)),"Baseline 3","Other"))))))</f>
        <v>Other</v>
      </c>
    </row>
    <row r="737" customFormat="false" ht="15" hidden="false" customHeight="true" outlineLevel="0" collapsed="false">
      <c r="A737" s="12" t="n">
        <v>42373</v>
      </c>
      <c r="B737" s="13" t="n">
        <v>274990.146499199</v>
      </c>
      <c r="C737" s="13" t="n">
        <v>299576.241369663</v>
      </c>
      <c r="D737" s="14" t="n">
        <v>7843</v>
      </c>
      <c r="E737" s="15" t="n">
        <f aca="false">B737/D737</f>
        <v>35.0618572611499</v>
      </c>
      <c r="F737" s="15" t="n">
        <f aca="false">C737/D737</f>
        <v>38.1966392158183</v>
      </c>
      <c r="G737" s="13" t="n">
        <f aca="false">B737-C737</f>
        <v>-24586.094870464</v>
      </c>
      <c r="H737" s="16" t="n">
        <f aca="false">G737/B737</f>
        <v>-0.0894071848881161</v>
      </c>
      <c r="I737" s="15" t="n">
        <f aca="false">G737/D737</f>
        <v>-3.13478195466837</v>
      </c>
      <c r="J737" s="16" t="n">
        <f aca="false">I737/E737</f>
        <v>-0.0894071848881161</v>
      </c>
      <c r="K737" s="17" t="str">
        <f aca="false">TEXT(A737,"dddd")</f>
        <v>Monday</v>
      </c>
      <c r="L737" s="17" t="str">
        <f aca="false">IF(AND(A737&gt;=DATE(2014,9,24),A737&lt;=DATE(2014,10,6)),"Promo 1",IF(AND(A737&gt;=DATE(2014,9,10),A737&lt;=DATE(2014,9,23)),"Baseline 1",IF(AND(A737&gt;=DATE(2015,9,23),A737&lt;=DATE(2015,10,6)),"Promo 2",IF(AND(A737&gt;=DATE(2015,9,9),A737&lt;=DATE(2015,9,22)),"Baseline 2",IF(AND(A737&gt;=DATE(2016,6,23),A737&lt;=DATE(2016,7,6)),"Promo 3",IF(AND(A737&gt;=DATE(2016,6,9),A737&lt;=DATE(2016,6,22)),"Baseline 3","Other"))))))</f>
        <v>Other</v>
      </c>
    </row>
    <row r="738" customFormat="false" ht="15" hidden="false" customHeight="true" outlineLevel="0" collapsed="false">
      <c r="A738" s="12" t="n">
        <v>42374</v>
      </c>
      <c r="B738" s="13" t="n">
        <v>215737.842798714</v>
      </c>
      <c r="C738" s="13" t="n">
        <v>234642.085748132</v>
      </c>
      <c r="D738" s="14" t="n">
        <v>6150</v>
      </c>
      <c r="E738" s="15" t="n">
        <f aca="false">B738/D738</f>
        <v>35.0793240323112</v>
      </c>
      <c r="F738" s="15" t="n">
        <f aca="false">C738/D738</f>
        <v>38.153184674493</v>
      </c>
      <c r="G738" s="13" t="n">
        <f aca="false">B738-C738</f>
        <v>-18904.242949418</v>
      </c>
      <c r="H738" s="16" t="n">
        <f aca="false">G738/B738</f>
        <v>-0.0876259941426034</v>
      </c>
      <c r="I738" s="15" t="n">
        <f aca="false">G738/D738</f>
        <v>-3.07386064218179</v>
      </c>
      <c r="J738" s="16" t="n">
        <f aca="false">I738/E738</f>
        <v>-0.0876259941426034</v>
      </c>
      <c r="K738" s="17" t="str">
        <f aca="false">TEXT(A738,"dddd")</f>
        <v>Tuesday</v>
      </c>
      <c r="L738" s="17" t="str">
        <f aca="false">IF(AND(A738&gt;=DATE(2014,9,24),A738&lt;=DATE(2014,10,6)),"Promo 1",IF(AND(A738&gt;=DATE(2014,9,10),A738&lt;=DATE(2014,9,23)),"Baseline 1",IF(AND(A738&gt;=DATE(2015,9,23),A738&lt;=DATE(2015,10,6)),"Promo 2",IF(AND(A738&gt;=DATE(2015,9,9),A738&lt;=DATE(2015,9,22)),"Baseline 2",IF(AND(A738&gt;=DATE(2016,6,23),A738&lt;=DATE(2016,7,6)),"Promo 3",IF(AND(A738&gt;=DATE(2016,6,9),A738&lt;=DATE(2016,6,22)),"Baseline 3","Other"))))))</f>
        <v>Other</v>
      </c>
    </row>
    <row r="739" customFormat="false" ht="15" hidden="false" customHeight="true" outlineLevel="0" collapsed="false">
      <c r="A739" s="12" t="n">
        <v>42375</v>
      </c>
      <c r="B739" s="13" t="n">
        <v>98646.9826975288</v>
      </c>
      <c r="C739" s="13" t="n">
        <v>91610.5600019723</v>
      </c>
      <c r="D739" s="14" t="n">
        <v>2401</v>
      </c>
      <c r="E739" s="15" t="n">
        <f aca="false">B739/D739</f>
        <v>41.0857903779795</v>
      </c>
      <c r="F739" s="15" t="n">
        <f aca="false">C739/D739</f>
        <v>38.1551686805382</v>
      </c>
      <c r="G739" s="13" t="n">
        <f aca="false">B739-C739</f>
        <v>7036.4226955565</v>
      </c>
      <c r="H739" s="16" t="n">
        <f aca="false">G739/B739</f>
        <v>0.0713293250654362</v>
      </c>
      <c r="I739" s="15" t="n">
        <f aca="false">G739/D739</f>
        <v>2.93062169744127</v>
      </c>
      <c r="J739" s="16" t="n">
        <f aca="false">I739/E739</f>
        <v>0.0713293250654362</v>
      </c>
      <c r="K739" s="17" t="str">
        <f aca="false">TEXT(A739,"dddd")</f>
        <v>Wednesday</v>
      </c>
      <c r="L739" s="17" t="str">
        <f aca="false">IF(AND(A739&gt;=DATE(2014,9,24),A739&lt;=DATE(2014,10,6)),"Promo 1",IF(AND(A739&gt;=DATE(2014,9,10),A739&lt;=DATE(2014,9,23)),"Baseline 1",IF(AND(A739&gt;=DATE(2015,9,23),A739&lt;=DATE(2015,10,6)),"Promo 2",IF(AND(A739&gt;=DATE(2015,9,9),A739&lt;=DATE(2015,9,22)),"Baseline 2",IF(AND(A739&gt;=DATE(2016,6,23),A739&lt;=DATE(2016,7,6)),"Promo 3",IF(AND(A739&gt;=DATE(2016,6,9),A739&lt;=DATE(2016,6,22)),"Baseline 3","Other"))))))</f>
        <v>Other</v>
      </c>
    </row>
    <row r="740" customFormat="false" ht="15" hidden="false" customHeight="true" outlineLevel="0" collapsed="false">
      <c r="A740" s="12" t="n">
        <v>42376</v>
      </c>
      <c r="B740" s="13" t="n">
        <v>74401.2152930205</v>
      </c>
      <c r="C740" s="13" t="n">
        <v>68988.8612591064</v>
      </c>
      <c r="D740" s="14" t="n">
        <v>1808</v>
      </c>
      <c r="E740" s="15" t="n">
        <f aca="false">B740/D740</f>
        <v>41.1511146532193</v>
      </c>
      <c r="F740" s="15" t="n">
        <f aca="false">C740/D740</f>
        <v>38.1575560061429</v>
      </c>
      <c r="G740" s="13" t="n">
        <f aca="false">B740-C740</f>
        <v>5412.3540339141</v>
      </c>
      <c r="H740" s="16" t="n">
        <f aca="false">G740/B740</f>
        <v>0.0727455057366762</v>
      </c>
      <c r="I740" s="15" t="n">
        <f aca="false">G740/D740</f>
        <v>2.99355864707638</v>
      </c>
      <c r="J740" s="16" t="n">
        <f aca="false">I740/E740</f>
        <v>0.0727455057366762</v>
      </c>
      <c r="K740" s="17" t="str">
        <f aca="false">TEXT(A740,"dddd")</f>
        <v>Thursday</v>
      </c>
      <c r="L740" s="17" t="str">
        <f aca="false">IF(AND(A740&gt;=DATE(2014,9,24),A740&lt;=DATE(2014,10,6)),"Promo 1",IF(AND(A740&gt;=DATE(2014,9,10),A740&lt;=DATE(2014,9,23)),"Baseline 1",IF(AND(A740&gt;=DATE(2015,9,23),A740&lt;=DATE(2015,10,6)),"Promo 2",IF(AND(A740&gt;=DATE(2015,9,9),A740&lt;=DATE(2015,9,22)),"Baseline 2",IF(AND(A740&gt;=DATE(2016,6,23),A740&lt;=DATE(2016,7,6)),"Promo 3",IF(AND(A740&gt;=DATE(2016,6,9),A740&lt;=DATE(2016,6,22)),"Baseline 3","Other"))))))</f>
        <v>Other</v>
      </c>
    </row>
    <row r="741" customFormat="false" ht="15" hidden="false" customHeight="true" outlineLevel="0" collapsed="false">
      <c r="A741" s="12" t="n">
        <v>42377</v>
      </c>
      <c r="B741" s="13" t="n">
        <v>106592.342996268</v>
      </c>
      <c r="C741" s="13" t="n">
        <v>99021.6829206922</v>
      </c>
      <c r="D741" s="14" t="n">
        <v>2594</v>
      </c>
      <c r="E741" s="15" t="n">
        <f aca="false">B741/D741</f>
        <v>41.0918824195328</v>
      </c>
      <c r="F741" s="15" t="n">
        <f aca="false">C741/D741</f>
        <v>38.1733550195421</v>
      </c>
      <c r="G741" s="13" t="n">
        <f aca="false">B741-C741</f>
        <v>7570.6600755758</v>
      </c>
      <c r="H741" s="16" t="n">
        <f aca="false">G741/B741</f>
        <v>0.0710244269219306</v>
      </c>
      <c r="I741" s="15" t="n">
        <f aca="false">G741/D741</f>
        <v>2.91852739999067</v>
      </c>
      <c r="J741" s="16" t="n">
        <f aca="false">I741/E741</f>
        <v>0.0710244269219306</v>
      </c>
      <c r="K741" s="17" t="str">
        <f aca="false">TEXT(A741,"dddd")</f>
        <v>Friday</v>
      </c>
      <c r="L741" s="17" t="str">
        <f aca="false">IF(AND(A741&gt;=DATE(2014,9,24),A741&lt;=DATE(2014,10,6)),"Promo 1",IF(AND(A741&gt;=DATE(2014,9,10),A741&lt;=DATE(2014,9,23)),"Baseline 1",IF(AND(A741&gt;=DATE(2015,9,23),A741&lt;=DATE(2015,10,6)),"Promo 2",IF(AND(A741&gt;=DATE(2015,9,9),A741&lt;=DATE(2015,9,22)),"Baseline 2",IF(AND(A741&gt;=DATE(2016,6,23),A741&lt;=DATE(2016,7,6)),"Promo 3",IF(AND(A741&gt;=DATE(2016,6,9),A741&lt;=DATE(2016,6,22)),"Baseline 3","Other"))))))</f>
        <v>Other</v>
      </c>
    </row>
    <row r="742" customFormat="false" ht="15" hidden="false" customHeight="true" outlineLevel="0" collapsed="false">
      <c r="A742" s="12" t="n">
        <v>42378</v>
      </c>
      <c r="B742" s="13" t="n">
        <v>134629.65819693</v>
      </c>
      <c r="C742" s="13" t="n">
        <v>124963.465513847</v>
      </c>
      <c r="D742" s="14" t="n">
        <v>3274</v>
      </c>
      <c r="E742" s="15" t="n">
        <f aca="false">B742/D742</f>
        <v>41.1208485635095</v>
      </c>
      <c r="F742" s="15" t="n">
        <f aca="false">C742/D742</f>
        <v>38.1684378478458</v>
      </c>
      <c r="G742" s="13" t="n">
        <f aca="false">B742-C742</f>
        <v>9666.19268308299</v>
      </c>
      <c r="H742" s="16" t="n">
        <f aca="false">G742/B742</f>
        <v>0.071798389838766</v>
      </c>
      <c r="I742" s="15" t="n">
        <f aca="false">G742/D742</f>
        <v>2.95241071566371</v>
      </c>
      <c r="J742" s="16" t="n">
        <f aca="false">I742/E742</f>
        <v>0.071798389838766</v>
      </c>
      <c r="K742" s="17" t="str">
        <f aca="false">TEXT(A742,"dddd")</f>
        <v>Saturday</v>
      </c>
      <c r="L742" s="17" t="str">
        <f aca="false">IF(AND(A742&gt;=DATE(2014,9,24),A742&lt;=DATE(2014,10,6)),"Promo 1",IF(AND(A742&gt;=DATE(2014,9,10),A742&lt;=DATE(2014,9,23)),"Baseline 1",IF(AND(A742&gt;=DATE(2015,9,23),A742&lt;=DATE(2015,10,6)),"Promo 2",IF(AND(A742&gt;=DATE(2015,9,9),A742&lt;=DATE(2015,9,22)),"Baseline 2",IF(AND(A742&gt;=DATE(2016,6,23),A742&lt;=DATE(2016,7,6)),"Promo 3",IF(AND(A742&gt;=DATE(2016,6,9),A742&lt;=DATE(2016,6,22)),"Baseline 3","Other"))))))</f>
        <v>Other</v>
      </c>
    </row>
    <row r="743" customFormat="false" ht="15" hidden="false" customHeight="true" outlineLevel="0" collapsed="false">
      <c r="A743" s="12" t="n">
        <v>42379</v>
      </c>
      <c r="B743" s="13" t="n">
        <v>90773.6530579092</v>
      </c>
      <c r="C743" s="13" t="n">
        <v>84299.2882399804</v>
      </c>
      <c r="D743" s="14" t="n">
        <v>2207</v>
      </c>
      <c r="E743" s="15" t="n">
        <f aca="false">B743/D743</f>
        <v>41.1298835785724</v>
      </c>
      <c r="F743" s="15" t="n">
        <f aca="false">C743/D743</f>
        <v>38.1963245310287</v>
      </c>
      <c r="G743" s="13" t="n">
        <f aca="false">B743-C743</f>
        <v>6474.36481792881</v>
      </c>
      <c r="H743" s="16" t="n">
        <f aca="false">G743/B743</f>
        <v>0.0713242730663101</v>
      </c>
      <c r="I743" s="15" t="n">
        <f aca="false">G743/D743</f>
        <v>2.93355904754364</v>
      </c>
      <c r="J743" s="16" t="n">
        <f aca="false">I743/E743</f>
        <v>0.0713242730663102</v>
      </c>
      <c r="K743" s="17" t="str">
        <f aca="false">TEXT(A743,"dddd")</f>
        <v>Sunday</v>
      </c>
      <c r="L743" s="17" t="str">
        <f aca="false">IF(AND(A743&gt;=DATE(2014,9,24),A743&lt;=DATE(2014,10,6)),"Promo 1",IF(AND(A743&gt;=DATE(2014,9,10),A743&lt;=DATE(2014,9,23)),"Baseline 1",IF(AND(A743&gt;=DATE(2015,9,23),A743&lt;=DATE(2015,10,6)),"Promo 2",IF(AND(A743&gt;=DATE(2015,9,9),A743&lt;=DATE(2015,9,22)),"Baseline 2",IF(AND(A743&gt;=DATE(2016,6,23),A743&lt;=DATE(2016,7,6)),"Promo 3",IF(AND(A743&gt;=DATE(2016,6,9),A743&lt;=DATE(2016,6,22)),"Baseline 3","Other"))))))</f>
        <v>Other</v>
      </c>
    </row>
    <row r="744" customFormat="false" ht="15" hidden="false" customHeight="true" outlineLevel="0" collapsed="false">
      <c r="A744" s="12" t="n">
        <v>42380</v>
      </c>
      <c r="B744" s="13" t="n">
        <v>121373.068224416</v>
      </c>
      <c r="C744" s="13" t="n">
        <v>112550.432308733</v>
      </c>
      <c r="D744" s="14" t="n">
        <v>2949</v>
      </c>
      <c r="E744" s="15" t="n">
        <f aca="false">B744/D744</f>
        <v>41.1573646064483</v>
      </c>
      <c r="F744" s="15" t="n">
        <f aca="false">C744/D744</f>
        <v>38.1656264186955</v>
      </c>
      <c r="G744" s="13" t="n">
        <f aca="false">B744-C744</f>
        <v>8822.635915683</v>
      </c>
      <c r="H744" s="16" t="n">
        <f aca="false">G744/B744</f>
        <v>0.0726902272864203</v>
      </c>
      <c r="I744" s="15" t="n">
        <f aca="false">G744/D744</f>
        <v>2.9917381877528</v>
      </c>
      <c r="J744" s="16" t="n">
        <f aca="false">I744/E744</f>
        <v>0.0726902272864203</v>
      </c>
      <c r="K744" s="17" t="str">
        <f aca="false">TEXT(A744,"dddd")</f>
        <v>Monday</v>
      </c>
      <c r="L744" s="17" t="str">
        <f aca="false">IF(AND(A744&gt;=DATE(2014,9,24),A744&lt;=DATE(2014,10,6)),"Promo 1",IF(AND(A744&gt;=DATE(2014,9,10),A744&lt;=DATE(2014,9,23)),"Baseline 1",IF(AND(A744&gt;=DATE(2015,9,23),A744&lt;=DATE(2015,10,6)),"Promo 2",IF(AND(A744&gt;=DATE(2015,9,9),A744&lt;=DATE(2015,9,22)),"Baseline 2",IF(AND(A744&gt;=DATE(2016,6,23),A744&lt;=DATE(2016,7,6)),"Promo 3",IF(AND(A744&gt;=DATE(2016,6,9),A744&lt;=DATE(2016,6,22)),"Baseline 3","Other"))))))</f>
        <v>Other</v>
      </c>
    </row>
    <row r="745" customFormat="false" ht="15" hidden="false" customHeight="true" outlineLevel="0" collapsed="false">
      <c r="A745" s="12" t="n">
        <v>42381</v>
      </c>
      <c r="B745" s="13" t="n">
        <v>99445.5571039792</v>
      </c>
      <c r="C745" s="13" t="n">
        <v>92226.518095758</v>
      </c>
      <c r="D745" s="14" t="n">
        <v>2417</v>
      </c>
      <c r="E745" s="15" t="n">
        <f aca="false">B745/D745</f>
        <v>41.1442106346625</v>
      </c>
      <c r="F745" s="15" t="n">
        <f aca="false">C745/D745</f>
        <v>38.1574340487207</v>
      </c>
      <c r="G745" s="13" t="n">
        <f aca="false">B745-C745</f>
        <v>7219.0390082212</v>
      </c>
      <c r="H745" s="16" t="n">
        <f aca="false">G745/B745</f>
        <v>0.0725928761269148</v>
      </c>
      <c r="I745" s="15" t="n">
        <f aca="false">G745/D745</f>
        <v>2.98677658594174</v>
      </c>
      <c r="J745" s="16" t="n">
        <f aca="false">I745/E745</f>
        <v>0.0725928761269148</v>
      </c>
      <c r="K745" s="17" t="str">
        <f aca="false">TEXT(A745,"dddd")</f>
        <v>Tuesday</v>
      </c>
      <c r="L745" s="17" t="str">
        <f aca="false">IF(AND(A745&gt;=DATE(2014,9,24),A745&lt;=DATE(2014,10,6)),"Promo 1",IF(AND(A745&gt;=DATE(2014,9,10),A745&lt;=DATE(2014,9,23)),"Baseline 1",IF(AND(A745&gt;=DATE(2015,9,23),A745&lt;=DATE(2015,10,6)),"Promo 2",IF(AND(A745&gt;=DATE(2015,9,9),A745&lt;=DATE(2015,9,22)),"Baseline 2",IF(AND(A745&gt;=DATE(2016,6,23),A745&lt;=DATE(2016,7,6)),"Promo 3",IF(AND(A745&gt;=DATE(2016,6,9),A745&lt;=DATE(2016,6,22)),"Baseline 3","Other"))))))</f>
        <v>Other</v>
      </c>
    </row>
    <row r="746" customFormat="false" ht="15" hidden="false" customHeight="true" outlineLevel="0" collapsed="false">
      <c r="A746" s="12" t="n">
        <v>42382</v>
      </c>
      <c r="B746" s="13" t="n">
        <v>67587.5469300704</v>
      </c>
      <c r="C746" s="13" t="n">
        <v>62760.3568314623</v>
      </c>
      <c r="D746" s="14" t="n">
        <v>1644</v>
      </c>
      <c r="E746" s="15" t="n">
        <f aca="false">B746/D746</f>
        <v>41.1116465511377</v>
      </c>
      <c r="F746" s="15" t="n">
        <f aca="false">C746/D746</f>
        <v>38.1753995325197</v>
      </c>
      <c r="G746" s="13" t="n">
        <f aca="false">B746-C746</f>
        <v>4827.1900986081</v>
      </c>
      <c r="H746" s="16" t="n">
        <f aca="false">G746/B746</f>
        <v>0.0714212945707671</v>
      </c>
      <c r="I746" s="15" t="n">
        <f aca="false">G746/D746</f>
        <v>2.93624701861807</v>
      </c>
      <c r="J746" s="16" t="n">
        <f aca="false">I746/E746</f>
        <v>0.0714212945707671</v>
      </c>
      <c r="K746" s="17" t="str">
        <f aca="false">TEXT(A746,"dddd")</f>
        <v>Wednesday</v>
      </c>
      <c r="L746" s="17" t="str">
        <f aca="false">IF(AND(A746&gt;=DATE(2014,9,24),A746&lt;=DATE(2014,10,6)),"Promo 1",IF(AND(A746&gt;=DATE(2014,9,10),A746&lt;=DATE(2014,9,23)),"Baseline 1",IF(AND(A746&gt;=DATE(2015,9,23),A746&lt;=DATE(2015,10,6)),"Promo 2",IF(AND(A746&gt;=DATE(2015,9,9),A746&lt;=DATE(2015,9,22)),"Baseline 2",IF(AND(A746&gt;=DATE(2016,6,23),A746&lt;=DATE(2016,7,6)),"Promo 3",IF(AND(A746&gt;=DATE(2016,6,9),A746&lt;=DATE(2016,6,22)),"Baseline 3","Other"))))))</f>
        <v>Other</v>
      </c>
    </row>
    <row r="747" customFormat="false" ht="15" hidden="false" customHeight="true" outlineLevel="0" collapsed="false">
      <c r="A747" s="12" t="n">
        <v>42383</v>
      </c>
      <c r="B747" s="13" t="n">
        <v>61685.9352384104</v>
      </c>
      <c r="C747" s="13" t="n">
        <v>57191.4393177916</v>
      </c>
      <c r="D747" s="14" t="n">
        <v>1499</v>
      </c>
      <c r="E747" s="15" t="n">
        <f aca="false">B747/D747</f>
        <v>41.1513910863312</v>
      </c>
      <c r="F747" s="15" t="n">
        <f aca="false">C747/D747</f>
        <v>38.1530615862519</v>
      </c>
      <c r="G747" s="13" t="n">
        <f aca="false">B747-C747</f>
        <v>4494.4959206188</v>
      </c>
      <c r="H747" s="16" t="n">
        <f aca="false">G747/B747</f>
        <v>0.0728609512565221</v>
      </c>
      <c r="I747" s="15" t="n">
        <f aca="false">G747/D747</f>
        <v>2.99832950007925</v>
      </c>
      <c r="J747" s="16" t="n">
        <f aca="false">I747/E747</f>
        <v>0.0728609512565221</v>
      </c>
      <c r="K747" s="17" t="str">
        <f aca="false">TEXT(A747,"dddd")</f>
        <v>Thursday</v>
      </c>
      <c r="L747" s="17" t="str">
        <f aca="false">IF(AND(A747&gt;=DATE(2014,9,24),A747&lt;=DATE(2014,10,6)),"Promo 1",IF(AND(A747&gt;=DATE(2014,9,10),A747&lt;=DATE(2014,9,23)),"Baseline 1",IF(AND(A747&gt;=DATE(2015,9,23),A747&lt;=DATE(2015,10,6)),"Promo 2",IF(AND(A747&gt;=DATE(2015,9,9),A747&lt;=DATE(2015,9,22)),"Baseline 2",IF(AND(A747&gt;=DATE(2016,6,23),A747&lt;=DATE(2016,7,6)),"Promo 3",IF(AND(A747&gt;=DATE(2016,6,9),A747&lt;=DATE(2016,6,22)),"Baseline 3","Other"))))))</f>
        <v>Other</v>
      </c>
    </row>
    <row r="748" customFormat="false" ht="15" hidden="false" customHeight="true" outlineLevel="0" collapsed="false">
      <c r="A748" s="12" t="n">
        <v>42384</v>
      </c>
      <c r="B748" s="13" t="n">
        <v>150006.929791824</v>
      </c>
      <c r="C748" s="13" t="n">
        <v>139244.895767709</v>
      </c>
      <c r="D748" s="14" t="n">
        <v>3648</v>
      </c>
      <c r="E748" s="15" t="n">
        <f aca="false">B748/D748</f>
        <v>41.1203206666184</v>
      </c>
      <c r="F748" s="15" t="n">
        <f aca="false">C748/D748</f>
        <v>38.1702016907097</v>
      </c>
      <c r="G748" s="13" t="n">
        <f aca="false">B748-C748</f>
        <v>10762.034024115</v>
      </c>
      <c r="H748" s="16" t="n">
        <f aca="false">G748/B748</f>
        <v>0.0717435790403168</v>
      </c>
      <c r="I748" s="15" t="n">
        <f aca="false">G748/D748</f>
        <v>2.95011897590871</v>
      </c>
      <c r="J748" s="16" t="n">
        <f aca="false">I748/E748</f>
        <v>0.0717435790403168</v>
      </c>
      <c r="K748" s="17" t="str">
        <f aca="false">TEXT(A748,"dddd")</f>
        <v>Friday</v>
      </c>
      <c r="L748" s="17" t="str">
        <f aca="false">IF(AND(A748&gt;=DATE(2014,9,24),A748&lt;=DATE(2014,10,6)),"Promo 1",IF(AND(A748&gt;=DATE(2014,9,10),A748&lt;=DATE(2014,9,23)),"Baseline 1",IF(AND(A748&gt;=DATE(2015,9,23),A748&lt;=DATE(2015,10,6)),"Promo 2",IF(AND(A748&gt;=DATE(2015,9,9),A748&lt;=DATE(2015,9,22)),"Baseline 2",IF(AND(A748&gt;=DATE(2016,6,23),A748&lt;=DATE(2016,7,6)),"Promo 3",IF(AND(A748&gt;=DATE(2016,6,9),A748&lt;=DATE(2016,6,22)),"Baseline 3","Other"))))))</f>
        <v>Other</v>
      </c>
    </row>
    <row r="749" customFormat="false" ht="15" hidden="false" customHeight="true" outlineLevel="0" collapsed="false">
      <c r="A749" s="12" t="n">
        <v>42385</v>
      </c>
      <c r="B749" s="13" t="n">
        <v>191287.353485503</v>
      </c>
      <c r="C749" s="13" t="n">
        <v>177577.287213495</v>
      </c>
      <c r="D749" s="14" t="n">
        <v>4652</v>
      </c>
      <c r="E749" s="15" t="n">
        <f aca="false">B749/D749</f>
        <v>41.1193795110712</v>
      </c>
      <c r="F749" s="15" t="n">
        <f aca="false">C749/D749</f>
        <v>38.172245746667</v>
      </c>
      <c r="G749" s="13" t="n">
        <f aca="false">B749-C749</f>
        <v>13710.066272008</v>
      </c>
      <c r="H749" s="16" t="n">
        <f aca="false">G749/B749</f>
        <v>0.0716726224823171</v>
      </c>
      <c r="I749" s="15" t="n">
        <f aca="false">G749/D749</f>
        <v>2.94713376440413</v>
      </c>
      <c r="J749" s="16" t="n">
        <f aca="false">I749/E749</f>
        <v>0.0716726224823171</v>
      </c>
      <c r="K749" s="17" t="str">
        <f aca="false">TEXT(A749,"dddd")</f>
        <v>Saturday</v>
      </c>
      <c r="L749" s="17" t="str">
        <f aca="false">IF(AND(A749&gt;=DATE(2014,9,24),A749&lt;=DATE(2014,10,6)),"Promo 1",IF(AND(A749&gt;=DATE(2014,9,10),A749&lt;=DATE(2014,9,23)),"Baseline 1",IF(AND(A749&gt;=DATE(2015,9,23),A749&lt;=DATE(2015,10,6)),"Promo 2",IF(AND(A749&gt;=DATE(2015,9,9),A749&lt;=DATE(2015,9,22)),"Baseline 2",IF(AND(A749&gt;=DATE(2016,6,23),A749&lt;=DATE(2016,7,6)),"Promo 3",IF(AND(A749&gt;=DATE(2016,6,9),A749&lt;=DATE(2016,6,22)),"Baseline 3","Other"))))))</f>
        <v>Other</v>
      </c>
    </row>
    <row r="750" customFormat="false" ht="15" hidden="false" customHeight="true" outlineLevel="0" collapsed="false">
      <c r="A750" s="12" t="n">
        <v>42386</v>
      </c>
      <c r="B750" s="13" t="n">
        <v>92595.4608369392</v>
      </c>
      <c r="C750" s="13" t="n">
        <v>86018.1896055194</v>
      </c>
      <c r="D750" s="14" t="n">
        <v>2252</v>
      </c>
      <c r="E750" s="15" t="n">
        <f aca="false">B750/D750</f>
        <v>41.116989714449</v>
      </c>
      <c r="F750" s="15" t="n">
        <f aca="false">C750/D750</f>
        <v>38.1963541765184</v>
      </c>
      <c r="G750" s="13" t="n">
        <f aca="false">B750-C750</f>
        <v>6577.2712314198</v>
      </c>
      <c r="H750" s="16" t="n">
        <f aca="false">G750/B750</f>
        <v>0.0710323289281144</v>
      </c>
      <c r="I750" s="15" t="n">
        <f aca="false">G750/D750</f>
        <v>2.92063553793064</v>
      </c>
      <c r="J750" s="16" t="n">
        <f aca="false">I750/E750</f>
        <v>0.0710323289281144</v>
      </c>
      <c r="K750" s="17" t="str">
        <f aca="false">TEXT(A750,"dddd")</f>
        <v>Sunday</v>
      </c>
      <c r="L750" s="17" t="str">
        <f aca="false">IF(AND(A750&gt;=DATE(2014,9,24),A750&lt;=DATE(2014,10,6)),"Promo 1",IF(AND(A750&gt;=DATE(2014,9,10),A750&lt;=DATE(2014,9,23)),"Baseline 1",IF(AND(A750&gt;=DATE(2015,9,23),A750&lt;=DATE(2015,10,6)),"Promo 2",IF(AND(A750&gt;=DATE(2015,9,9),A750&lt;=DATE(2015,9,22)),"Baseline 2",IF(AND(A750&gt;=DATE(2016,6,23),A750&lt;=DATE(2016,7,6)),"Promo 3",IF(AND(A750&gt;=DATE(2016,6,9),A750&lt;=DATE(2016,6,22)),"Baseline 3","Other"))))))</f>
        <v>Other</v>
      </c>
    </row>
    <row r="751" customFormat="false" ht="15" hidden="false" customHeight="true" outlineLevel="0" collapsed="false">
      <c r="A751" s="12" t="n">
        <v>42387</v>
      </c>
      <c r="B751" s="13" t="n">
        <v>96947.0542884792</v>
      </c>
      <c r="C751" s="13" t="n">
        <v>89961.3595037727</v>
      </c>
      <c r="D751" s="14" t="n">
        <v>2357</v>
      </c>
      <c r="E751" s="15" t="n">
        <f aca="false">B751/D751</f>
        <v>41.1315461554854</v>
      </c>
      <c r="F751" s="15" t="n">
        <f aca="false">C751/D751</f>
        <v>38.1677384402939</v>
      </c>
      <c r="G751" s="13" t="n">
        <f aca="false">B751-C751</f>
        <v>6985.69478470649</v>
      </c>
      <c r="H751" s="16" t="n">
        <f aca="false">G751/B751</f>
        <v>0.0720568029217226</v>
      </c>
      <c r="I751" s="15" t="n">
        <f aca="false">G751/D751</f>
        <v>2.96380771519155</v>
      </c>
      <c r="J751" s="16" t="n">
        <f aca="false">I751/E751</f>
        <v>0.0720568029217226</v>
      </c>
      <c r="K751" s="17" t="str">
        <f aca="false">TEXT(A751,"dddd")</f>
        <v>Monday</v>
      </c>
      <c r="L751" s="17" t="str">
        <f aca="false">IF(AND(A751&gt;=DATE(2014,9,24),A751&lt;=DATE(2014,10,6)),"Promo 1",IF(AND(A751&gt;=DATE(2014,9,10),A751&lt;=DATE(2014,9,23)),"Baseline 1",IF(AND(A751&gt;=DATE(2015,9,23),A751&lt;=DATE(2015,10,6)),"Promo 2",IF(AND(A751&gt;=DATE(2015,9,9),A751&lt;=DATE(2015,9,22)),"Baseline 2",IF(AND(A751&gt;=DATE(2016,6,23),A751&lt;=DATE(2016,7,6)),"Promo 3",IF(AND(A751&gt;=DATE(2016,6,9),A751&lt;=DATE(2016,6,22)),"Baseline 3","Other"))))))</f>
        <v>Other</v>
      </c>
    </row>
    <row r="752" customFormat="false" ht="15" hidden="false" customHeight="true" outlineLevel="0" collapsed="false">
      <c r="A752" s="12" t="n">
        <v>42388</v>
      </c>
      <c r="B752" s="13" t="n">
        <v>70512.8945004905</v>
      </c>
      <c r="C752" s="13" t="n">
        <v>65453.2763915545</v>
      </c>
      <c r="D752" s="14" t="n">
        <v>1715</v>
      </c>
      <c r="E752" s="15" t="n">
        <f aca="false">B752/D752</f>
        <v>41.1153903792948</v>
      </c>
      <c r="F752" s="15" t="n">
        <f aca="false">C752/D752</f>
        <v>38.1651757385157</v>
      </c>
      <c r="G752" s="13" t="n">
        <f aca="false">B752-C752</f>
        <v>5059.618108936</v>
      </c>
      <c r="H752" s="16" t="n">
        <f aca="false">G752/B752</f>
        <v>0.0717545087998168</v>
      </c>
      <c r="I752" s="15" t="n">
        <f aca="false">G752/D752</f>
        <v>2.95021464077901</v>
      </c>
      <c r="J752" s="16" t="n">
        <f aca="false">I752/E752</f>
        <v>0.0717545087998168</v>
      </c>
      <c r="K752" s="17" t="str">
        <f aca="false">TEXT(A752,"dddd")</f>
        <v>Tuesday</v>
      </c>
      <c r="L752" s="17" t="str">
        <f aca="false">IF(AND(A752&gt;=DATE(2014,9,24),A752&lt;=DATE(2014,10,6)),"Promo 1",IF(AND(A752&gt;=DATE(2014,9,10),A752&lt;=DATE(2014,9,23)),"Baseline 1",IF(AND(A752&gt;=DATE(2015,9,23),A752&lt;=DATE(2015,10,6)),"Promo 2",IF(AND(A752&gt;=DATE(2015,9,9),A752&lt;=DATE(2015,9,22)),"Baseline 2",IF(AND(A752&gt;=DATE(2016,6,23),A752&lt;=DATE(2016,7,6)),"Promo 3",IF(AND(A752&gt;=DATE(2016,6,9),A752&lt;=DATE(2016,6,22)),"Baseline 3","Other"))))))</f>
        <v>Other</v>
      </c>
    </row>
    <row r="753" customFormat="false" ht="15" hidden="false" customHeight="true" outlineLevel="0" collapsed="false">
      <c r="A753" s="12" t="n">
        <v>42389</v>
      </c>
      <c r="B753" s="13" t="n">
        <v>159590.490069201</v>
      </c>
      <c r="C753" s="13" t="n">
        <v>182351.138845242</v>
      </c>
      <c r="D753" s="14" t="n">
        <v>4776</v>
      </c>
      <c r="E753" s="15" t="n">
        <f aca="false">B753/D753</f>
        <v>33.4150942355949</v>
      </c>
      <c r="F753" s="15" t="n">
        <f aca="false">C753/D753</f>
        <v>38.1807242138279</v>
      </c>
      <c r="G753" s="13" t="n">
        <f aca="false">B753-C753</f>
        <v>-22760.648776041</v>
      </c>
      <c r="H753" s="16" t="n">
        <f aca="false">G753/B753</f>
        <v>-0.142619079408626</v>
      </c>
      <c r="I753" s="15" t="n">
        <f aca="false">G753/D753</f>
        <v>-4.76562997823304</v>
      </c>
      <c r="J753" s="16" t="n">
        <f aca="false">I753/E753</f>
        <v>-0.142619079408626</v>
      </c>
      <c r="K753" s="17" t="str">
        <f aca="false">TEXT(A753,"dddd")</f>
        <v>Wednesday</v>
      </c>
      <c r="L753" s="17" t="str">
        <f aca="false">IF(AND(A753&gt;=DATE(2014,9,24),A753&lt;=DATE(2014,10,6)),"Promo 1",IF(AND(A753&gt;=DATE(2014,9,10),A753&lt;=DATE(2014,9,23)),"Baseline 1",IF(AND(A753&gt;=DATE(2015,9,23),A753&lt;=DATE(2015,10,6)),"Promo 2",IF(AND(A753&gt;=DATE(2015,9,9),A753&lt;=DATE(2015,9,22)),"Baseline 2",IF(AND(A753&gt;=DATE(2016,6,23),A753&lt;=DATE(2016,7,6)),"Promo 3",IF(AND(A753&gt;=DATE(2016,6,9),A753&lt;=DATE(2016,6,22)),"Baseline 3","Other"))))))</f>
        <v>Other</v>
      </c>
    </row>
    <row r="754" customFormat="false" ht="15" hidden="false" customHeight="true" outlineLevel="0" collapsed="false">
      <c r="A754" s="12" t="n">
        <v>42390</v>
      </c>
      <c r="B754" s="13" t="n">
        <v>67046.2734158004</v>
      </c>
      <c r="C754" s="13" t="n">
        <v>61894.2625605305</v>
      </c>
      <c r="D754" s="14" t="n">
        <v>1628</v>
      </c>
      <c r="E754" s="15" t="n">
        <f aca="false">B754/D754</f>
        <v>41.18321462887</v>
      </c>
      <c r="F754" s="15" t="n">
        <f aca="false">C754/D754</f>
        <v>38.0185887963947</v>
      </c>
      <c r="G754" s="13" t="n">
        <f aca="false">B754-C754</f>
        <v>5152.0108552699</v>
      </c>
      <c r="H754" s="16" t="n">
        <f aca="false">G754/B754</f>
        <v>0.076842613210114</v>
      </c>
      <c r="I754" s="15" t="n">
        <f aca="false">G754/D754</f>
        <v>3.16462583247537</v>
      </c>
      <c r="J754" s="16" t="n">
        <f aca="false">I754/E754</f>
        <v>0.0768426132101141</v>
      </c>
      <c r="K754" s="17" t="str">
        <f aca="false">TEXT(A754,"dddd")</f>
        <v>Thursday</v>
      </c>
      <c r="L754" s="17" t="str">
        <f aca="false">IF(AND(A754&gt;=DATE(2014,9,24),A754&lt;=DATE(2014,10,6)),"Promo 1",IF(AND(A754&gt;=DATE(2014,9,10),A754&lt;=DATE(2014,9,23)),"Baseline 1",IF(AND(A754&gt;=DATE(2015,9,23),A754&lt;=DATE(2015,10,6)),"Promo 2",IF(AND(A754&gt;=DATE(2015,9,9),A754&lt;=DATE(2015,9,22)),"Baseline 2",IF(AND(A754&gt;=DATE(2016,6,23),A754&lt;=DATE(2016,7,6)),"Promo 3",IF(AND(A754&gt;=DATE(2016,6,9),A754&lt;=DATE(2016,6,22)),"Baseline 3","Other"))))))</f>
        <v>Other</v>
      </c>
    </row>
    <row r="755" customFormat="false" ht="15" hidden="false" customHeight="true" outlineLevel="0" collapsed="false">
      <c r="A755" s="12" t="n">
        <v>42391</v>
      </c>
      <c r="B755" s="13" t="n">
        <v>266949.238793142</v>
      </c>
      <c r="C755" s="13" t="n">
        <v>294322.927182735</v>
      </c>
      <c r="D755" s="14" t="n">
        <v>7806</v>
      </c>
      <c r="E755" s="15" t="n">
        <f aca="false">B755/D755</f>
        <v>34.1979552643021</v>
      </c>
      <c r="F755" s="15" t="n">
        <f aca="false">C755/D755</f>
        <v>37.704704993945</v>
      </c>
      <c r="G755" s="13" t="n">
        <f aca="false">B755-C755</f>
        <v>-27373.688389593</v>
      </c>
      <c r="H755" s="16" t="n">
        <f aca="false">G755/B755</f>
        <v>-0.102542672582051</v>
      </c>
      <c r="I755" s="15" t="n">
        <f aca="false">G755/D755</f>
        <v>-3.50674972964296</v>
      </c>
      <c r="J755" s="16" t="n">
        <f aca="false">I755/E755</f>
        <v>-0.102542672582051</v>
      </c>
      <c r="K755" s="17" t="str">
        <f aca="false">TEXT(A755,"dddd")</f>
        <v>Friday</v>
      </c>
      <c r="L755" s="17" t="str">
        <f aca="false">IF(AND(A755&gt;=DATE(2014,9,24),A755&lt;=DATE(2014,10,6)),"Promo 1",IF(AND(A755&gt;=DATE(2014,9,10),A755&lt;=DATE(2014,9,23)),"Baseline 1",IF(AND(A755&gt;=DATE(2015,9,23),A755&lt;=DATE(2015,10,6)),"Promo 2",IF(AND(A755&gt;=DATE(2015,9,9),A755&lt;=DATE(2015,9,22)),"Baseline 2",IF(AND(A755&gt;=DATE(2016,6,23),A755&lt;=DATE(2016,7,6)),"Promo 3",IF(AND(A755&gt;=DATE(2016,6,9),A755&lt;=DATE(2016,6,22)),"Baseline 3","Other"))))))</f>
        <v>Other</v>
      </c>
    </row>
    <row r="756" customFormat="false" ht="15" hidden="false" customHeight="true" outlineLevel="0" collapsed="false">
      <c r="A756" s="12" t="n">
        <v>42392</v>
      </c>
      <c r="B756" s="13" t="n">
        <v>315272.224772122</v>
      </c>
      <c r="C756" s="13" t="n">
        <v>346093.067004291</v>
      </c>
      <c r="D756" s="14" t="n">
        <v>9210</v>
      </c>
      <c r="E756" s="15" t="n">
        <f aca="false">B756/D756</f>
        <v>34.2315119187972</v>
      </c>
      <c r="F756" s="15" t="n">
        <f aca="false">C756/D756</f>
        <v>37.5779660156668</v>
      </c>
      <c r="G756" s="13" t="n">
        <f aca="false">B756-C756</f>
        <v>-30820.842232169</v>
      </c>
      <c r="H756" s="16" t="n">
        <f aca="false">G756/B756</f>
        <v>-0.0977594593194698</v>
      </c>
      <c r="I756" s="15" t="n">
        <f aca="false">G756/D756</f>
        <v>-3.3464540968696</v>
      </c>
      <c r="J756" s="16" t="n">
        <f aca="false">I756/E756</f>
        <v>-0.0977594593194698</v>
      </c>
      <c r="K756" s="17" t="str">
        <f aca="false">TEXT(A756,"dddd")</f>
        <v>Saturday</v>
      </c>
      <c r="L756" s="17" t="str">
        <f aca="false">IF(AND(A756&gt;=DATE(2014,9,24),A756&lt;=DATE(2014,10,6)),"Promo 1",IF(AND(A756&gt;=DATE(2014,9,10),A756&lt;=DATE(2014,9,23)),"Baseline 1",IF(AND(A756&gt;=DATE(2015,9,23),A756&lt;=DATE(2015,10,6)),"Promo 2",IF(AND(A756&gt;=DATE(2015,9,9),A756&lt;=DATE(2015,9,22)),"Baseline 2",IF(AND(A756&gt;=DATE(2016,6,23),A756&lt;=DATE(2016,7,6)),"Promo 3",IF(AND(A756&gt;=DATE(2016,6,9),A756&lt;=DATE(2016,6,22)),"Baseline 3","Other"))))))</f>
        <v>Other</v>
      </c>
    </row>
    <row r="757" customFormat="false" ht="15" hidden="false" customHeight="true" outlineLevel="0" collapsed="false">
      <c r="A757" s="12" t="n">
        <v>42393</v>
      </c>
      <c r="B757" s="13" t="n">
        <v>149138.921518885</v>
      </c>
      <c r="C757" s="13" t="n">
        <v>163505.713019898</v>
      </c>
      <c r="D757" s="14" t="n">
        <v>4351</v>
      </c>
      <c r="E757" s="15" t="n">
        <f aca="false">B757/D757</f>
        <v>34.2769297905964</v>
      </c>
      <c r="F757" s="15" t="n">
        <f aca="false">C757/D757</f>
        <v>37.5788814111464</v>
      </c>
      <c r="G757" s="13" t="n">
        <f aca="false">B757-C757</f>
        <v>-14366.791501013</v>
      </c>
      <c r="H757" s="16" t="n">
        <f aca="false">G757/B757</f>
        <v>-0.0963316038140571</v>
      </c>
      <c r="I757" s="15" t="n">
        <f aca="false">G757/D757</f>
        <v>-3.30195162054998</v>
      </c>
      <c r="J757" s="16" t="n">
        <f aca="false">I757/E757</f>
        <v>-0.0963316038140571</v>
      </c>
      <c r="K757" s="17" t="str">
        <f aca="false">TEXT(A757,"dddd")</f>
        <v>Sunday</v>
      </c>
      <c r="L757" s="17" t="str">
        <f aca="false">IF(AND(A757&gt;=DATE(2014,9,24),A757&lt;=DATE(2014,10,6)),"Promo 1",IF(AND(A757&gt;=DATE(2014,9,10),A757&lt;=DATE(2014,9,23)),"Baseline 1",IF(AND(A757&gt;=DATE(2015,9,23),A757&lt;=DATE(2015,10,6)),"Promo 2",IF(AND(A757&gt;=DATE(2015,9,9),A757&lt;=DATE(2015,9,22)),"Baseline 2",IF(AND(A757&gt;=DATE(2016,6,23),A757&lt;=DATE(2016,7,6)),"Promo 3",IF(AND(A757&gt;=DATE(2016,6,9),A757&lt;=DATE(2016,6,22)),"Baseline 3","Other"))))))</f>
        <v>Other</v>
      </c>
    </row>
    <row r="758" customFormat="false" ht="15" hidden="false" customHeight="true" outlineLevel="0" collapsed="false">
      <c r="A758" s="12" t="n">
        <v>42394</v>
      </c>
      <c r="B758" s="13" t="n">
        <v>215171.03820177</v>
      </c>
      <c r="C758" s="13" t="n">
        <v>234621.598859709</v>
      </c>
      <c r="D758" s="14" t="n">
        <v>6278</v>
      </c>
      <c r="E758" s="15" t="n">
        <f aca="false">B758/D758</f>
        <v>34.2738194013651</v>
      </c>
      <c r="F758" s="15" t="n">
        <f aca="false">C758/D758</f>
        <v>37.3720291270642</v>
      </c>
      <c r="G758" s="13" t="n">
        <f aca="false">B758-C758</f>
        <v>-19450.560657939</v>
      </c>
      <c r="H758" s="16" t="n">
        <f aca="false">G758/B758</f>
        <v>-0.0903958117249025</v>
      </c>
      <c r="I758" s="15" t="n">
        <f aca="false">G758/D758</f>
        <v>-3.09820972569911</v>
      </c>
      <c r="J758" s="16" t="n">
        <f aca="false">I758/E758</f>
        <v>-0.0903958117249025</v>
      </c>
      <c r="K758" s="17" t="str">
        <f aca="false">TEXT(A758,"dddd")</f>
        <v>Monday</v>
      </c>
      <c r="L758" s="17" t="str">
        <f aca="false">IF(AND(A758&gt;=DATE(2014,9,24),A758&lt;=DATE(2014,10,6)),"Promo 1",IF(AND(A758&gt;=DATE(2014,9,10),A758&lt;=DATE(2014,9,23)),"Baseline 1",IF(AND(A758&gt;=DATE(2015,9,23),A758&lt;=DATE(2015,10,6)),"Promo 2",IF(AND(A758&gt;=DATE(2015,9,9),A758&lt;=DATE(2015,9,22)),"Baseline 2",IF(AND(A758&gt;=DATE(2016,6,23),A758&lt;=DATE(2016,7,6)),"Promo 3",IF(AND(A758&gt;=DATE(2016,6,9),A758&lt;=DATE(2016,6,22)),"Baseline 3","Other"))))))</f>
        <v>Other</v>
      </c>
    </row>
    <row r="759" customFormat="false" ht="15" hidden="false" customHeight="true" outlineLevel="0" collapsed="false">
      <c r="A759" s="12" t="n">
        <v>42395</v>
      </c>
      <c r="B759" s="13" t="n">
        <v>205197.898357169</v>
      </c>
      <c r="C759" s="13" t="n">
        <v>221931.580052744</v>
      </c>
      <c r="D759" s="14" t="n">
        <v>5992</v>
      </c>
      <c r="E759" s="15" t="n">
        <f aca="false">B759/D759</f>
        <v>34.2453101397145</v>
      </c>
      <c r="F759" s="15" t="n">
        <f aca="false">C759/D759</f>
        <v>37.0379806496569</v>
      </c>
      <c r="G759" s="13" t="n">
        <f aca="false">B759-C759</f>
        <v>-16733.681695575</v>
      </c>
      <c r="H759" s="16" t="n">
        <f aca="false">G759/B759</f>
        <v>-0.0815489916297691</v>
      </c>
      <c r="I759" s="15" t="n">
        <f aca="false">G759/D759</f>
        <v>-2.79267050994242</v>
      </c>
      <c r="J759" s="16" t="n">
        <f aca="false">I759/E759</f>
        <v>-0.0815489916297691</v>
      </c>
      <c r="K759" s="17" t="str">
        <f aca="false">TEXT(A759,"dddd")</f>
        <v>Tuesday</v>
      </c>
      <c r="L759" s="17" t="str">
        <f aca="false">IF(AND(A759&gt;=DATE(2014,9,24),A759&lt;=DATE(2014,10,6)),"Promo 1",IF(AND(A759&gt;=DATE(2014,9,10),A759&lt;=DATE(2014,9,23)),"Baseline 1",IF(AND(A759&gt;=DATE(2015,9,23),A759&lt;=DATE(2015,10,6)),"Promo 2",IF(AND(A759&gt;=DATE(2015,9,9),A759&lt;=DATE(2015,9,22)),"Baseline 2",IF(AND(A759&gt;=DATE(2016,6,23),A759&lt;=DATE(2016,7,6)),"Promo 3",IF(AND(A759&gt;=DATE(2016,6,9),A759&lt;=DATE(2016,6,22)),"Baseline 3","Other"))))))</f>
        <v>Other</v>
      </c>
    </row>
    <row r="760" customFormat="false" ht="15" hidden="false" customHeight="true" outlineLevel="0" collapsed="false">
      <c r="A760" s="12" t="n">
        <v>42396</v>
      </c>
      <c r="B760" s="13" t="n">
        <v>214452.248428695</v>
      </c>
      <c r="C760" s="13" t="n">
        <v>231730.232749898</v>
      </c>
      <c r="D760" s="14" t="n">
        <v>6265</v>
      </c>
      <c r="E760" s="15" t="n">
        <f aca="false">B760/D760</f>
        <v>34.2302072511884</v>
      </c>
      <c r="F760" s="15" t="n">
        <f aca="false">C760/D760</f>
        <v>36.9880658818672</v>
      </c>
      <c r="G760" s="13" t="n">
        <f aca="false">B760-C760</f>
        <v>-17277.984321203</v>
      </c>
      <c r="H760" s="16" t="n">
        <f aca="false">G760/B760</f>
        <v>-0.0805679793417876</v>
      </c>
      <c r="I760" s="15" t="n">
        <f aca="false">G760/D760</f>
        <v>-2.75785863067885</v>
      </c>
      <c r="J760" s="16" t="n">
        <f aca="false">I760/E760</f>
        <v>-0.0805679793417876</v>
      </c>
      <c r="K760" s="17" t="str">
        <f aca="false">TEXT(A760,"dddd")</f>
        <v>Wednesday</v>
      </c>
      <c r="L760" s="17" t="str">
        <f aca="false">IF(AND(A760&gt;=DATE(2014,9,24),A760&lt;=DATE(2014,10,6)),"Promo 1",IF(AND(A760&gt;=DATE(2014,9,10),A760&lt;=DATE(2014,9,23)),"Baseline 1",IF(AND(A760&gt;=DATE(2015,9,23),A760&lt;=DATE(2015,10,6)),"Promo 2",IF(AND(A760&gt;=DATE(2015,9,9),A760&lt;=DATE(2015,9,22)),"Baseline 2",IF(AND(A760&gt;=DATE(2016,6,23),A760&lt;=DATE(2016,7,6)),"Promo 3",IF(AND(A760&gt;=DATE(2016,6,9),A760&lt;=DATE(2016,6,22)),"Baseline 3","Other"))))))</f>
        <v>Other</v>
      </c>
    </row>
    <row r="761" customFormat="false" ht="15" hidden="false" customHeight="true" outlineLevel="0" collapsed="false">
      <c r="A761" s="12" t="n">
        <v>42397</v>
      </c>
      <c r="B761" s="13" t="n">
        <v>195767.973554038</v>
      </c>
      <c r="C761" s="13" t="n">
        <v>210639.848189275</v>
      </c>
      <c r="D761" s="14" t="n">
        <v>5723</v>
      </c>
      <c r="E761" s="15" t="n">
        <f aca="false">B761/D761</f>
        <v>34.2072293472022</v>
      </c>
      <c r="F761" s="15" t="n">
        <f aca="false">C761/D761</f>
        <v>36.8058445202298</v>
      </c>
      <c r="G761" s="13" t="n">
        <f aca="false">B761-C761</f>
        <v>-14871.874635237</v>
      </c>
      <c r="H761" s="16" t="n">
        <f aca="false">G761/B761</f>
        <v>-0.0759668415892956</v>
      </c>
      <c r="I761" s="15" t="n">
        <f aca="false">G761/D761</f>
        <v>-2.59861517302761</v>
      </c>
      <c r="J761" s="16" t="n">
        <f aca="false">I761/E761</f>
        <v>-0.0759668415892956</v>
      </c>
      <c r="K761" s="17" t="str">
        <f aca="false">TEXT(A761,"dddd")</f>
        <v>Thursday</v>
      </c>
      <c r="L761" s="17" t="str">
        <f aca="false">IF(AND(A761&gt;=DATE(2014,9,24),A761&lt;=DATE(2014,10,6)),"Promo 1",IF(AND(A761&gt;=DATE(2014,9,10),A761&lt;=DATE(2014,9,23)),"Baseline 1",IF(AND(A761&gt;=DATE(2015,9,23),A761&lt;=DATE(2015,10,6)),"Promo 2",IF(AND(A761&gt;=DATE(2015,9,9),A761&lt;=DATE(2015,9,22)),"Baseline 2",IF(AND(A761&gt;=DATE(2016,6,23),A761&lt;=DATE(2016,7,6)),"Promo 3",IF(AND(A761&gt;=DATE(2016,6,9),A761&lt;=DATE(2016,6,22)),"Baseline 3","Other"))))))</f>
        <v>Other</v>
      </c>
    </row>
    <row r="762" customFormat="false" ht="15" hidden="false" customHeight="true" outlineLevel="0" collapsed="false">
      <c r="A762" s="12" t="n">
        <v>42398</v>
      </c>
      <c r="B762" s="13" t="n">
        <v>397984.329262888</v>
      </c>
      <c r="C762" s="13" t="n">
        <v>437198.929579715</v>
      </c>
      <c r="D762" s="14" t="n">
        <v>11900</v>
      </c>
      <c r="E762" s="15" t="n">
        <f aca="false">B762/D762</f>
        <v>33.4440612825956</v>
      </c>
      <c r="F762" s="15" t="n">
        <f aca="false">C762/D762</f>
        <v>36.7394058470349</v>
      </c>
      <c r="G762" s="13" t="n">
        <f aca="false">B762-C762</f>
        <v>-39214.600316827</v>
      </c>
      <c r="H762" s="16" t="n">
        <f aca="false">G762/B762</f>
        <v>-0.0985330261356192</v>
      </c>
      <c r="I762" s="15" t="n">
        <f aca="false">G762/D762</f>
        <v>-3.29534456443924</v>
      </c>
      <c r="J762" s="16" t="n">
        <f aca="false">I762/E762</f>
        <v>-0.0985330261356192</v>
      </c>
      <c r="K762" s="17" t="str">
        <f aca="false">TEXT(A762,"dddd")</f>
        <v>Friday</v>
      </c>
      <c r="L762" s="17" t="str">
        <f aca="false">IF(AND(A762&gt;=DATE(2014,9,24),A762&lt;=DATE(2014,10,6)),"Promo 1",IF(AND(A762&gt;=DATE(2014,9,10),A762&lt;=DATE(2014,9,23)),"Baseline 1",IF(AND(A762&gt;=DATE(2015,9,23),A762&lt;=DATE(2015,10,6)),"Promo 2",IF(AND(A762&gt;=DATE(2015,9,9),A762&lt;=DATE(2015,9,22)),"Baseline 2",IF(AND(A762&gt;=DATE(2016,6,23),A762&lt;=DATE(2016,7,6)),"Promo 3",IF(AND(A762&gt;=DATE(2016,6,9),A762&lt;=DATE(2016,6,22)),"Baseline 3","Other"))))))</f>
        <v>Other</v>
      </c>
    </row>
    <row r="763" customFormat="false" ht="15" hidden="false" customHeight="true" outlineLevel="0" collapsed="false">
      <c r="A763" s="12" t="n">
        <v>42399</v>
      </c>
      <c r="B763" s="13" t="n">
        <v>512603.103453023</v>
      </c>
      <c r="C763" s="13" t="n">
        <v>561872.20603299</v>
      </c>
      <c r="D763" s="14" t="n">
        <v>15345</v>
      </c>
      <c r="E763" s="15" t="n">
        <f aca="false">B763/D763</f>
        <v>33.4052201663749</v>
      </c>
      <c r="F763" s="15" t="n">
        <f aca="false">C763/D763</f>
        <v>36.6159795394585</v>
      </c>
      <c r="G763" s="13" t="n">
        <f aca="false">B763-C763</f>
        <v>-49269.102579967</v>
      </c>
      <c r="H763" s="16" t="n">
        <f aca="false">G763/B763</f>
        <v>-0.0961154980297193</v>
      </c>
      <c r="I763" s="15" t="n">
        <f aca="false">G763/D763</f>
        <v>-3.21075937308355</v>
      </c>
      <c r="J763" s="16" t="n">
        <f aca="false">I763/E763</f>
        <v>-0.0961154980297193</v>
      </c>
      <c r="K763" s="17" t="str">
        <f aca="false">TEXT(A763,"dddd")</f>
        <v>Saturday</v>
      </c>
      <c r="L763" s="17" t="str">
        <f aca="false">IF(AND(A763&gt;=DATE(2014,9,24),A763&lt;=DATE(2014,10,6)),"Promo 1",IF(AND(A763&gt;=DATE(2014,9,10),A763&lt;=DATE(2014,9,23)),"Baseline 1",IF(AND(A763&gt;=DATE(2015,9,23),A763&lt;=DATE(2015,10,6)),"Promo 2",IF(AND(A763&gt;=DATE(2015,9,9),A763&lt;=DATE(2015,9,22)),"Baseline 2",IF(AND(A763&gt;=DATE(2016,6,23),A763&lt;=DATE(2016,7,6)),"Promo 3",IF(AND(A763&gt;=DATE(2016,6,9),A763&lt;=DATE(2016,6,22)),"Baseline 3","Other"))))))</f>
        <v>Other</v>
      </c>
    </row>
    <row r="764" customFormat="false" ht="15" hidden="false" customHeight="true" outlineLevel="0" collapsed="false">
      <c r="A764" s="12" t="n">
        <v>42400</v>
      </c>
      <c r="B764" s="13" t="n">
        <v>218104.066939171</v>
      </c>
      <c r="C764" s="13" t="n">
        <v>238662.192104786</v>
      </c>
      <c r="D764" s="14" t="n">
        <v>6525</v>
      </c>
      <c r="E764" s="15" t="n">
        <f aca="false">B764/D764</f>
        <v>33.4259106420185</v>
      </c>
      <c r="F764" s="15" t="n">
        <f aca="false">C764/D764</f>
        <v>36.5765811654844</v>
      </c>
      <c r="G764" s="13" t="n">
        <f aca="false">B764-C764</f>
        <v>-20558.125165615</v>
      </c>
      <c r="H764" s="16" t="n">
        <f aca="false">G764/B764</f>
        <v>-0.094258330227967</v>
      </c>
      <c r="I764" s="15" t="n">
        <f aca="false">G764/D764</f>
        <v>-3.1506705234659</v>
      </c>
      <c r="J764" s="16" t="n">
        <f aca="false">I764/E764</f>
        <v>-0.094258330227967</v>
      </c>
      <c r="K764" s="17" t="str">
        <f aca="false">TEXT(A764,"dddd")</f>
        <v>Sunday</v>
      </c>
      <c r="L764" s="17" t="str">
        <f aca="false">IF(AND(A764&gt;=DATE(2014,9,24),A764&lt;=DATE(2014,10,6)),"Promo 1",IF(AND(A764&gt;=DATE(2014,9,10),A764&lt;=DATE(2014,9,23)),"Baseline 1",IF(AND(A764&gt;=DATE(2015,9,23),A764&lt;=DATE(2015,10,6)),"Promo 2",IF(AND(A764&gt;=DATE(2015,9,9),A764&lt;=DATE(2015,9,22)),"Baseline 2",IF(AND(A764&gt;=DATE(2016,6,23),A764&lt;=DATE(2016,7,6)),"Promo 3",IF(AND(A764&gt;=DATE(2016,6,9),A764&lt;=DATE(2016,6,22)),"Baseline 3","Other"))))))</f>
        <v>Other</v>
      </c>
    </row>
    <row r="765" customFormat="false" ht="15" hidden="false" customHeight="true" outlineLevel="0" collapsed="false">
      <c r="A765" s="12" t="n">
        <v>42401</v>
      </c>
      <c r="B765" s="13" t="n">
        <v>339004.336886763</v>
      </c>
      <c r="C765" s="13" t="n">
        <v>371177.186883032</v>
      </c>
      <c r="D765" s="14" t="n">
        <v>10153</v>
      </c>
      <c r="E765" s="15" t="n">
        <f aca="false">B765/D765</f>
        <v>33.3895732184343</v>
      </c>
      <c r="F765" s="15" t="n">
        <f aca="false">C765/D765</f>
        <v>36.5583755425029</v>
      </c>
      <c r="G765" s="13" t="n">
        <f aca="false">B765-C765</f>
        <v>-32172.849996269</v>
      </c>
      <c r="H765" s="16" t="n">
        <f aca="false">G765/B765</f>
        <v>-0.094903948107943</v>
      </c>
      <c r="I765" s="15" t="n">
        <f aca="false">G765/D765</f>
        <v>-3.16880232406865</v>
      </c>
      <c r="J765" s="16" t="n">
        <f aca="false">I765/E765</f>
        <v>-0.094903948107943</v>
      </c>
      <c r="K765" s="17" t="str">
        <f aca="false">TEXT(A765,"dddd")</f>
        <v>Monday</v>
      </c>
      <c r="L765" s="17" t="str">
        <f aca="false">IF(AND(A765&gt;=DATE(2014,9,24),A765&lt;=DATE(2014,10,6)),"Promo 1",IF(AND(A765&gt;=DATE(2014,9,10),A765&lt;=DATE(2014,9,23)),"Baseline 1",IF(AND(A765&gt;=DATE(2015,9,23),A765&lt;=DATE(2015,10,6)),"Promo 2",IF(AND(A765&gt;=DATE(2015,9,9),A765&lt;=DATE(2015,9,22)),"Baseline 2",IF(AND(A765&gt;=DATE(2016,6,23),A765&lt;=DATE(2016,7,6)),"Promo 3",IF(AND(A765&gt;=DATE(2016,6,9),A765&lt;=DATE(2016,6,22)),"Baseline 3","Other"))))))</f>
        <v>Other</v>
      </c>
    </row>
    <row r="766" customFormat="false" ht="15" hidden="false" customHeight="true" outlineLevel="0" collapsed="false">
      <c r="A766" s="12" t="n">
        <v>42402</v>
      </c>
      <c r="B766" s="13" t="n">
        <v>278116.369327563</v>
      </c>
      <c r="C766" s="13" t="n">
        <v>295645.629108798</v>
      </c>
      <c r="D766" s="14" t="n">
        <v>8116</v>
      </c>
      <c r="E766" s="15" t="n">
        <f aca="false">B766/D766</f>
        <v>34.2676650231103</v>
      </c>
      <c r="F766" s="15" t="n">
        <f aca="false">C766/D766</f>
        <v>36.4275048187282</v>
      </c>
      <c r="G766" s="13" t="n">
        <f aca="false">B766-C766</f>
        <v>-17529.259781235</v>
      </c>
      <c r="H766" s="16" t="n">
        <f aca="false">G766/B766</f>
        <v>-0.0630285078998324</v>
      </c>
      <c r="I766" s="15" t="n">
        <f aca="false">G766/D766</f>
        <v>-2.15983979561792</v>
      </c>
      <c r="J766" s="16" t="n">
        <f aca="false">I766/E766</f>
        <v>-0.0630285078998324</v>
      </c>
      <c r="K766" s="17" t="str">
        <f aca="false">TEXT(A766,"dddd")</f>
        <v>Tuesday</v>
      </c>
      <c r="L766" s="17" t="str">
        <f aca="false">IF(AND(A766&gt;=DATE(2014,9,24),A766&lt;=DATE(2014,10,6)),"Promo 1",IF(AND(A766&gt;=DATE(2014,9,10),A766&lt;=DATE(2014,9,23)),"Baseline 1",IF(AND(A766&gt;=DATE(2015,9,23),A766&lt;=DATE(2015,10,6)),"Promo 2",IF(AND(A766&gt;=DATE(2015,9,9),A766&lt;=DATE(2015,9,22)),"Baseline 2",IF(AND(A766&gt;=DATE(2016,6,23),A766&lt;=DATE(2016,7,6)),"Promo 3",IF(AND(A766&gt;=DATE(2016,6,9),A766&lt;=DATE(2016,6,22)),"Baseline 3","Other"))))))</f>
        <v>Other</v>
      </c>
    </row>
    <row r="767" customFormat="false" ht="15" hidden="false" customHeight="true" outlineLevel="0" collapsed="false">
      <c r="A767" s="12" t="n">
        <v>42403</v>
      </c>
      <c r="B767" s="13" t="n">
        <v>264159.300610374</v>
      </c>
      <c r="C767" s="13" t="n">
        <v>280392.273599945</v>
      </c>
      <c r="D767" s="14" t="n">
        <v>7712</v>
      </c>
      <c r="E767" s="15" t="n">
        <f aca="false">B767/D767</f>
        <v>34.2530213447062</v>
      </c>
      <c r="F767" s="15" t="n">
        <f aca="false">C767/D767</f>
        <v>36.3579192945987</v>
      </c>
      <c r="G767" s="13" t="n">
        <f aca="false">B767-C767</f>
        <v>-16232.972989571</v>
      </c>
      <c r="H767" s="16" t="n">
        <f aca="false">G767/B767</f>
        <v>-0.0614514535436103</v>
      </c>
      <c r="I767" s="15" t="n">
        <f aca="false">G767/D767</f>
        <v>-2.1048979498925</v>
      </c>
      <c r="J767" s="16" t="n">
        <f aca="false">I767/E767</f>
        <v>-0.0614514535436103</v>
      </c>
      <c r="K767" s="17" t="str">
        <f aca="false">TEXT(A767,"dddd")</f>
        <v>Wednesday</v>
      </c>
      <c r="L767" s="17" t="str">
        <f aca="false">IF(AND(A767&gt;=DATE(2014,9,24),A767&lt;=DATE(2014,10,6)),"Promo 1",IF(AND(A767&gt;=DATE(2014,9,10),A767&lt;=DATE(2014,9,23)),"Baseline 1",IF(AND(A767&gt;=DATE(2015,9,23),A767&lt;=DATE(2015,10,6)),"Promo 2",IF(AND(A767&gt;=DATE(2015,9,9),A767&lt;=DATE(2015,9,22)),"Baseline 2",IF(AND(A767&gt;=DATE(2016,6,23),A767&lt;=DATE(2016,7,6)),"Promo 3",IF(AND(A767&gt;=DATE(2016,6,9),A767&lt;=DATE(2016,6,22)),"Baseline 3","Other"))))))</f>
        <v>Other</v>
      </c>
    </row>
    <row r="768" customFormat="false" ht="15" hidden="false" customHeight="true" outlineLevel="0" collapsed="false">
      <c r="A768" s="12" t="n">
        <v>42404</v>
      </c>
      <c r="B768" s="13" t="n">
        <v>197778.133740559</v>
      </c>
      <c r="C768" s="13" t="n">
        <v>209372.292230828</v>
      </c>
      <c r="D768" s="14" t="n">
        <v>5759</v>
      </c>
      <c r="E768" s="15" t="n">
        <f aca="false">B768/D768</f>
        <v>34.3424437820036</v>
      </c>
      <c r="F768" s="15" t="n">
        <f aca="false">C768/D768</f>
        <v>36.3556680379976</v>
      </c>
      <c r="G768" s="13" t="n">
        <f aca="false">B768-C768</f>
        <v>-11594.158490269</v>
      </c>
      <c r="H768" s="16" t="n">
        <f aca="false">G768/B768</f>
        <v>-0.0586220441612518</v>
      </c>
      <c r="I768" s="15" t="n">
        <f aca="false">G768/D768</f>
        <v>-2.01322425599392</v>
      </c>
      <c r="J768" s="16" t="n">
        <f aca="false">I768/E768</f>
        <v>-0.0586220441612518</v>
      </c>
      <c r="K768" s="17" t="str">
        <f aca="false">TEXT(A768,"dddd")</f>
        <v>Thursday</v>
      </c>
      <c r="L768" s="17" t="str">
        <f aca="false">IF(AND(A768&gt;=DATE(2014,9,24),A768&lt;=DATE(2014,10,6)),"Promo 1",IF(AND(A768&gt;=DATE(2014,9,10),A768&lt;=DATE(2014,9,23)),"Baseline 1",IF(AND(A768&gt;=DATE(2015,9,23),A768&lt;=DATE(2015,10,6)),"Promo 2",IF(AND(A768&gt;=DATE(2015,9,9),A768&lt;=DATE(2015,9,22)),"Baseline 2",IF(AND(A768&gt;=DATE(2016,6,23),A768&lt;=DATE(2016,7,6)),"Promo 3",IF(AND(A768&gt;=DATE(2016,6,9),A768&lt;=DATE(2016,6,22)),"Baseline 3","Other"))))))</f>
        <v>Other</v>
      </c>
    </row>
    <row r="769" customFormat="false" ht="15" hidden="false" customHeight="true" outlineLevel="0" collapsed="false">
      <c r="A769" s="12" t="n">
        <v>42405</v>
      </c>
      <c r="B769" s="13" t="n">
        <v>325749.008906947</v>
      </c>
      <c r="C769" s="13" t="n">
        <v>345287.811496579</v>
      </c>
      <c r="D769" s="14" t="n">
        <v>9501</v>
      </c>
      <c r="E769" s="15" t="n">
        <f aca="false">B769/D769</f>
        <v>34.2857603312227</v>
      </c>
      <c r="F769" s="15" t="n">
        <f aca="false">C769/D769</f>
        <v>36.3422599196484</v>
      </c>
      <c r="G769" s="13" t="n">
        <f aca="false">B769-C769</f>
        <v>-19538.802589632</v>
      </c>
      <c r="H769" s="16" t="n">
        <f aca="false">G769/B769</f>
        <v>-0.0599811574414135</v>
      </c>
      <c r="I769" s="15" t="n">
        <f aca="false">G769/D769</f>
        <v>-2.05649958842564</v>
      </c>
      <c r="J769" s="16" t="n">
        <f aca="false">I769/E769</f>
        <v>-0.0599811574414135</v>
      </c>
      <c r="K769" s="17" t="str">
        <f aca="false">TEXT(A769,"dddd")</f>
        <v>Friday</v>
      </c>
      <c r="L769" s="17" t="str">
        <f aca="false">IF(AND(A769&gt;=DATE(2014,9,24),A769&lt;=DATE(2014,10,6)),"Promo 1",IF(AND(A769&gt;=DATE(2014,9,10),A769&lt;=DATE(2014,9,23)),"Baseline 1",IF(AND(A769&gt;=DATE(2015,9,23),A769&lt;=DATE(2015,10,6)),"Promo 2",IF(AND(A769&gt;=DATE(2015,9,9),A769&lt;=DATE(2015,9,22)),"Baseline 2",IF(AND(A769&gt;=DATE(2016,6,23),A769&lt;=DATE(2016,7,6)),"Promo 3",IF(AND(A769&gt;=DATE(2016,6,9),A769&lt;=DATE(2016,6,22)),"Baseline 3","Other"))))))</f>
        <v>Other</v>
      </c>
    </row>
    <row r="770" customFormat="false" ht="15" hidden="false" customHeight="true" outlineLevel="0" collapsed="false">
      <c r="A770" s="12" t="n">
        <v>42406</v>
      </c>
      <c r="B770" s="13" t="n">
        <v>371561.976387214</v>
      </c>
      <c r="C770" s="13" t="n">
        <v>393884.43303565</v>
      </c>
      <c r="D770" s="14" t="n">
        <v>10840</v>
      </c>
      <c r="E770" s="15" t="n">
        <f aca="false">B770/D770</f>
        <v>34.2769350910714</v>
      </c>
      <c r="F770" s="15" t="n">
        <f aca="false">C770/D770</f>
        <v>36.3362023095618</v>
      </c>
      <c r="G770" s="13" t="n">
        <f aca="false">B770-C770</f>
        <v>-22322.456648436</v>
      </c>
      <c r="H770" s="16" t="n">
        <f aca="false">G770/B770</f>
        <v>-0.0600773439346044</v>
      </c>
      <c r="I770" s="15" t="n">
        <f aca="false">G770/D770</f>
        <v>-2.05926721849041</v>
      </c>
      <c r="J770" s="16" t="n">
        <f aca="false">I770/E770</f>
        <v>-0.0600773439346044</v>
      </c>
      <c r="K770" s="17" t="str">
        <f aca="false">TEXT(A770,"dddd")</f>
        <v>Saturday</v>
      </c>
      <c r="L770" s="17" t="str">
        <f aca="false">IF(AND(A770&gt;=DATE(2014,9,24),A770&lt;=DATE(2014,10,6)),"Promo 1",IF(AND(A770&gt;=DATE(2014,9,10),A770&lt;=DATE(2014,9,23)),"Baseline 1",IF(AND(A770&gt;=DATE(2015,9,23),A770&lt;=DATE(2015,10,6)),"Promo 2",IF(AND(A770&gt;=DATE(2015,9,9),A770&lt;=DATE(2015,9,22)),"Baseline 2",IF(AND(A770&gt;=DATE(2016,6,23),A770&lt;=DATE(2016,7,6)),"Promo 3",IF(AND(A770&gt;=DATE(2016,6,9),A770&lt;=DATE(2016,6,22)),"Baseline 3","Other"))))))</f>
        <v>Other</v>
      </c>
    </row>
    <row r="771" customFormat="false" ht="15" hidden="false" customHeight="true" outlineLevel="0" collapsed="false">
      <c r="A771" s="12" t="n">
        <v>42407</v>
      </c>
      <c r="B771" s="13" t="n">
        <v>174581.676845831</v>
      </c>
      <c r="C771" s="13" t="n">
        <v>185040.817338933</v>
      </c>
      <c r="D771" s="14" t="n">
        <v>5089</v>
      </c>
      <c r="E771" s="15" t="n">
        <f aca="false">B771/D771</f>
        <v>34.305694015687</v>
      </c>
      <c r="F771" s="15" t="n">
        <f aca="false">C771/D771</f>
        <v>36.3609387578961</v>
      </c>
      <c r="G771" s="13" t="n">
        <f aca="false">B771-C771</f>
        <v>-10459.140493102</v>
      </c>
      <c r="H771" s="16" t="n">
        <f aca="false">G771/B771</f>
        <v>-0.0599097263932126</v>
      </c>
      <c r="I771" s="15" t="n">
        <f aca="false">G771/D771</f>
        <v>-2.05524474220908</v>
      </c>
      <c r="J771" s="16" t="n">
        <f aca="false">I771/E771</f>
        <v>-0.0599097263932126</v>
      </c>
      <c r="K771" s="17" t="str">
        <f aca="false">TEXT(A771,"dddd")</f>
        <v>Sunday</v>
      </c>
      <c r="L771" s="17" t="str">
        <f aca="false">IF(AND(A771&gt;=DATE(2014,9,24),A771&lt;=DATE(2014,10,6)),"Promo 1",IF(AND(A771&gt;=DATE(2014,9,10),A771&lt;=DATE(2014,9,23)),"Baseline 1",IF(AND(A771&gt;=DATE(2015,9,23),A771&lt;=DATE(2015,10,6)),"Promo 2",IF(AND(A771&gt;=DATE(2015,9,9),A771&lt;=DATE(2015,9,22)),"Baseline 2",IF(AND(A771&gt;=DATE(2016,6,23),A771&lt;=DATE(2016,7,6)),"Promo 3",IF(AND(A771&gt;=DATE(2016,6,9),A771&lt;=DATE(2016,6,22)),"Baseline 3","Other"))))))</f>
        <v>Other</v>
      </c>
    </row>
    <row r="772" customFormat="false" ht="15" hidden="false" customHeight="true" outlineLevel="0" collapsed="false">
      <c r="A772" s="12" t="n">
        <v>42408</v>
      </c>
      <c r="B772" s="13" t="n">
        <v>208489.369419331</v>
      </c>
      <c r="C772" s="13" t="n">
        <v>221372.836946832</v>
      </c>
      <c r="D772" s="14" t="n">
        <v>6087</v>
      </c>
      <c r="E772" s="15" t="n">
        <f aca="false">B772/D772</f>
        <v>34.2515803218878</v>
      </c>
      <c r="F772" s="15" t="n">
        <f aca="false">C772/D772</f>
        <v>36.3681348688733</v>
      </c>
      <c r="G772" s="13" t="n">
        <f aca="false">B772-C772</f>
        <v>-12883.467527501</v>
      </c>
      <c r="H772" s="16" t="n">
        <f aca="false">G772/B772</f>
        <v>-0.0617943618103075</v>
      </c>
      <c r="I772" s="15" t="n">
        <f aca="false">G772/D772</f>
        <v>-2.11655454698554</v>
      </c>
      <c r="J772" s="16" t="n">
        <f aca="false">I772/E772</f>
        <v>-0.0617943618103075</v>
      </c>
      <c r="K772" s="17" t="str">
        <f aca="false">TEXT(A772,"dddd")</f>
        <v>Monday</v>
      </c>
      <c r="L772" s="17" t="str">
        <f aca="false">IF(AND(A772&gt;=DATE(2014,9,24),A772&lt;=DATE(2014,10,6)),"Promo 1",IF(AND(A772&gt;=DATE(2014,9,10),A772&lt;=DATE(2014,9,23)),"Baseline 1",IF(AND(A772&gt;=DATE(2015,9,23),A772&lt;=DATE(2015,10,6)),"Promo 2",IF(AND(A772&gt;=DATE(2015,9,9),A772&lt;=DATE(2015,9,22)),"Baseline 2",IF(AND(A772&gt;=DATE(2016,6,23),A772&lt;=DATE(2016,7,6)),"Promo 3",IF(AND(A772&gt;=DATE(2016,6,9),A772&lt;=DATE(2016,6,22)),"Baseline 3","Other"))))))</f>
        <v>Other</v>
      </c>
    </row>
    <row r="773" customFormat="false" ht="15" hidden="false" customHeight="true" outlineLevel="0" collapsed="false">
      <c r="A773" s="12" t="n">
        <v>42409</v>
      </c>
      <c r="B773" s="13" t="n">
        <v>84495.1666676401</v>
      </c>
      <c r="C773" s="13" t="n">
        <v>74682.2668180992</v>
      </c>
      <c r="D773" s="14" t="n">
        <v>2053</v>
      </c>
      <c r="E773" s="15" t="n">
        <f aca="false">B773/D773</f>
        <v>41.1569248259328</v>
      </c>
      <c r="F773" s="15" t="n">
        <f aca="false">C773/D773</f>
        <v>36.3771392197268</v>
      </c>
      <c r="G773" s="13" t="n">
        <f aca="false">B773-C773</f>
        <v>9812.89984954089</v>
      </c>
      <c r="H773" s="16" t="n">
        <f aca="false">G773/B773</f>
        <v>0.116135635167627</v>
      </c>
      <c r="I773" s="15" t="n">
        <f aca="false">G773/D773</f>
        <v>4.77978560620599</v>
      </c>
      <c r="J773" s="16" t="n">
        <f aca="false">I773/E773</f>
        <v>0.116135635167627</v>
      </c>
      <c r="K773" s="17" t="str">
        <f aca="false">TEXT(A773,"dddd")</f>
        <v>Tuesday</v>
      </c>
      <c r="L773" s="17" t="str">
        <f aca="false">IF(AND(A773&gt;=DATE(2014,9,24),A773&lt;=DATE(2014,10,6)),"Promo 1",IF(AND(A773&gt;=DATE(2014,9,10),A773&lt;=DATE(2014,9,23)),"Baseline 1",IF(AND(A773&gt;=DATE(2015,9,23),A773&lt;=DATE(2015,10,6)),"Promo 2",IF(AND(A773&gt;=DATE(2015,9,9),A773&lt;=DATE(2015,9,22)),"Baseline 2",IF(AND(A773&gt;=DATE(2016,6,23),A773&lt;=DATE(2016,7,6)),"Promo 3",IF(AND(A773&gt;=DATE(2016,6,9),A773&lt;=DATE(2016,6,22)),"Baseline 3","Other"))))))</f>
        <v>Other</v>
      </c>
    </row>
    <row r="774" customFormat="false" ht="15" hidden="false" customHeight="true" outlineLevel="0" collapsed="false">
      <c r="A774" s="12" t="n">
        <v>42410</v>
      </c>
      <c r="B774" s="13" t="n">
        <v>76661.2500301794</v>
      </c>
      <c r="C774" s="13" t="n">
        <v>66379.5636043739</v>
      </c>
      <c r="D774" s="14" t="n">
        <v>1825</v>
      </c>
      <c r="E774" s="15" t="n">
        <f aca="false">B774/D774</f>
        <v>42.0061644000983</v>
      </c>
      <c r="F774" s="15" t="n">
        <f aca="false">C774/D774</f>
        <v>36.372363618835</v>
      </c>
      <c r="G774" s="13" t="n">
        <f aca="false">B774-C774</f>
        <v>10281.6864258055</v>
      </c>
      <c r="H774" s="16" t="n">
        <f aca="false">G774/B774</f>
        <v>0.134118429085853</v>
      </c>
      <c r="I774" s="15" t="n">
        <f aca="false">G774/D774</f>
        <v>5.63380078126329</v>
      </c>
      <c r="J774" s="16" t="n">
        <f aca="false">I774/E774</f>
        <v>0.134118429085853</v>
      </c>
      <c r="K774" s="17" t="str">
        <f aca="false">TEXT(A774,"dddd")</f>
        <v>Wednesday</v>
      </c>
      <c r="L774" s="17" t="str">
        <f aca="false">IF(AND(A774&gt;=DATE(2014,9,24),A774&lt;=DATE(2014,10,6)),"Promo 1",IF(AND(A774&gt;=DATE(2014,9,10),A774&lt;=DATE(2014,9,23)),"Baseline 1",IF(AND(A774&gt;=DATE(2015,9,23),A774&lt;=DATE(2015,10,6)),"Promo 2",IF(AND(A774&gt;=DATE(2015,9,9),A774&lt;=DATE(2015,9,22)),"Baseline 2",IF(AND(A774&gt;=DATE(2016,6,23),A774&lt;=DATE(2016,7,6)),"Promo 3",IF(AND(A774&gt;=DATE(2016,6,9),A774&lt;=DATE(2016,6,22)),"Baseline 3","Other"))))))</f>
        <v>Other</v>
      </c>
    </row>
    <row r="775" customFormat="false" ht="15" hidden="false" customHeight="true" outlineLevel="0" collapsed="false">
      <c r="A775" s="12" t="n">
        <v>42411</v>
      </c>
      <c r="B775" s="13" t="n">
        <v>64034.9404595098</v>
      </c>
      <c r="C775" s="13" t="n">
        <v>55491.3385293735</v>
      </c>
      <c r="D775" s="14" t="n">
        <v>1525</v>
      </c>
      <c r="E775" s="15" t="n">
        <f aca="false">B775/D775</f>
        <v>41.9901248914818</v>
      </c>
      <c r="F775" s="15" t="n">
        <f aca="false">C775/D775</f>
        <v>36.387762970081</v>
      </c>
      <c r="G775" s="13" t="n">
        <f aca="false">B775-C775</f>
        <v>8543.60193013631</v>
      </c>
      <c r="H775" s="16" t="n">
        <f aca="false">G775/B775</f>
        <v>0.133420939706168</v>
      </c>
      <c r="I775" s="15" t="n">
        <f aca="false">G775/D775</f>
        <v>5.60236192140086</v>
      </c>
      <c r="J775" s="16" t="n">
        <f aca="false">I775/E775</f>
        <v>0.133420939706168</v>
      </c>
      <c r="K775" s="17" t="str">
        <f aca="false">TEXT(A775,"dddd")</f>
        <v>Thursday</v>
      </c>
      <c r="L775" s="17" t="str">
        <f aca="false">IF(AND(A775&gt;=DATE(2014,9,24),A775&lt;=DATE(2014,10,6)),"Promo 1",IF(AND(A775&gt;=DATE(2014,9,10),A775&lt;=DATE(2014,9,23)),"Baseline 1",IF(AND(A775&gt;=DATE(2015,9,23),A775&lt;=DATE(2015,10,6)),"Promo 2",IF(AND(A775&gt;=DATE(2015,9,9),A775&lt;=DATE(2015,9,22)),"Baseline 2",IF(AND(A775&gt;=DATE(2016,6,23),A775&lt;=DATE(2016,7,6)),"Promo 3",IF(AND(A775&gt;=DATE(2016,6,9),A775&lt;=DATE(2016,6,22)),"Baseline 3","Other"))))))</f>
        <v>Other</v>
      </c>
    </row>
    <row r="776" customFormat="false" ht="15" hidden="false" customHeight="true" outlineLevel="0" collapsed="false">
      <c r="A776" s="12" t="n">
        <v>42412</v>
      </c>
      <c r="B776" s="13" t="n">
        <v>148839.974868265</v>
      </c>
      <c r="C776" s="13" t="n">
        <v>129583.492067398</v>
      </c>
      <c r="D776" s="14" t="n">
        <v>3542</v>
      </c>
      <c r="E776" s="15" t="n">
        <f aca="false">B776/D776</f>
        <v>42.021449708714</v>
      </c>
      <c r="F776" s="15" t="n">
        <f aca="false">C776/D776</f>
        <v>36.5848368343868</v>
      </c>
      <c r="G776" s="13" t="n">
        <f aca="false">B776-C776</f>
        <v>19256.482800867</v>
      </c>
      <c r="H776" s="16" t="n">
        <f aca="false">G776/B776</f>
        <v>0.12937708984371</v>
      </c>
      <c r="I776" s="15" t="n">
        <f aca="false">G776/D776</f>
        <v>5.43661287432722</v>
      </c>
      <c r="J776" s="16" t="n">
        <f aca="false">I776/E776</f>
        <v>0.12937708984371</v>
      </c>
      <c r="K776" s="17" t="str">
        <f aca="false">TEXT(A776,"dddd")</f>
        <v>Friday</v>
      </c>
      <c r="L776" s="17" t="str">
        <f aca="false">IF(AND(A776&gt;=DATE(2014,9,24),A776&lt;=DATE(2014,10,6)),"Promo 1",IF(AND(A776&gt;=DATE(2014,9,10),A776&lt;=DATE(2014,9,23)),"Baseline 1",IF(AND(A776&gt;=DATE(2015,9,23),A776&lt;=DATE(2015,10,6)),"Promo 2",IF(AND(A776&gt;=DATE(2015,9,9),A776&lt;=DATE(2015,9,22)),"Baseline 2",IF(AND(A776&gt;=DATE(2016,6,23),A776&lt;=DATE(2016,7,6)),"Promo 3",IF(AND(A776&gt;=DATE(2016,6,9),A776&lt;=DATE(2016,6,22)),"Baseline 3","Other"))))))</f>
        <v>Other</v>
      </c>
    </row>
    <row r="777" customFormat="false" ht="15" hidden="false" customHeight="true" outlineLevel="0" collapsed="false">
      <c r="A777" s="12" t="n">
        <v>42413</v>
      </c>
      <c r="B777" s="13" t="n">
        <v>172541.507929524</v>
      </c>
      <c r="C777" s="13" t="n">
        <v>150538.983683141</v>
      </c>
      <c r="D777" s="14" t="n">
        <v>4105</v>
      </c>
      <c r="E777" s="15" t="n">
        <f aca="false">B777/D777</f>
        <v>42.0320360364249</v>
      </c>
      <c r="F777" s="15" t="n">
        <f aca="false">C777/D777</f>
        <v>36.6721032114838</v>
      </c>
      <c r="G777" s="13" t="n">
        <f aca="false">B777-C777</f>
        <v>22002.524246383</v>
      </c>
      <c r="H777" s="16" t="n">
        <f aca="false">G777/B777</f>
        <v>0.127520180566465</v>
      </c>
      <c r="I777" s="15" t="n">
        <f aca="false">G777/D777</f>
        <v>5.35993282494105</v>
      </c>
      <c r="J777" s="16" t="n">
        <f aca="false">I777/E777</f>
        <v>0.127520180566465</v>
      </c>
      <c r="K777" s="17" t="str">
        <f aca="false">TEXT(A777,"dddd")</f>
        <v>Saturday</v>
      </c>
      <c r="L777" s="17" t="str">
        <f aca="false">IF(AND(A777&gt;=DATE(2014,9,24),A777&lt;=DATE(2014,10,6)),"Promo 1",IF(AND(A777&gt;=DATE(2014,9,10),A777&lt;=DATE(2014,9,23)),"Baseline 1",IF(AND(A777&gt;=DATE(2015,9,23),A777&lt;=DATE(2015,10,6)),"Promo 2",IF(AND(A777&gt;=DATE(2015,9,9),A777&lt;=DATE(2015,9,22)),"Baseline 2",IF(AND(A777&gt;=DATE(2016,6,23),A777&lt;=DATE(2016,7,6)),"Promo 3",IF(AND(A777&gt;=DATE(2016,6,9),A777&lt;=DATE(2016,6,22)),"Baseline 3","Other"))))))</f>
        <v>Other</v>
      </c>
    </row>
    <row r="778" customFormat="false" ht="15" hidden="false" customHeight="true" outlineLevel="0" collapsed="false">
      <c r="A778" s="12" t="n">
        <v>42414</v>
      </c>
      <c r="B778" s="13" t="n">
        <v>87991.6630021185</v>
      </c>
      <c r="C778" s="13" t="n">
        <v>76378.5046380639</v>
      </c>
      <c r="D778" s="14" t="n">
        <v>2094</v>
      </c>
      <c r="E778" s="15" t="n">
        <f aca="false">B778/D778</f>
        <v>42.020851481432</v>
      </c>
      <c r="F778" s="15" t="n">
        <f aca="false">C778/D778</f>
        <v>36.4749305816924</v>
      </c>
      <c r="G778" s="13" t="n">
        <f aca="false">B778-C778</f>
        <v>11613.1583640546</v>
      </c>
      <c r="H778" s="16" t="n">
        <f aca="false">G778/B778</f>
        <v>0.131980212304602</v>
      </c>
      <c r="I778" s="15" t="n">
        <f aca="false">G778/D778</f>
        <v>5.54592089973954</v>
      </c>
      <c r="J778" s="16" t="n">
        <f aca="false">I778/E778</f>
        <v>0.131980212304602</v>
      </c>
      <c r="K778" s="17" t="str">
        <f aca="false">TEXT(A778,"dddd")</f>
        <v>Sunday</v>
      </c>
      <c r="L778" s="17" t="str">
        <f aca="false">IF(AND(A778&gt;=DATE(2014,9,24),A778&lt;=DATE(2014,10,6)),"Promo 1",IF(AND(A778&gt;=DATE(2014,9,10),A778&lt;=DATE(2014,9,23)),"Baseline 1",IF(AND(A778&gt;=DATE(2015,9,23),A778&lt;=DATE(2015,10,6)),"Promo 2",IF(AND(A778&gt;=DATE(2015,9,9),A778&lt;=DATE(2015,9,22)),"Baseline 2",IF(AND(A778&gt;=DATE(2016,6,23),A778&lt;=DATE(2016,7,6)),"Promo 3",IF(AND(A778&gt;=DATE(2016,6,9),A778&lt;=DATE(2016,6,22)),"Baseline 3","Other"))))))</f>
        <v>Other</v>
      </c>
    </row>
    <row r="779" customFormat="false" ht="15" hidden="false" customHeight="true" outlineLevel="0" collapsed="false">
      <c r="A779" s="12" t="n">
        <v>42415</v>
      </c>
      <c r="B779" s="13" t="n">
        <v>123445.381550428</v>
      </c>
      <c r="C779" s="13" t="n">
        <v>108669.225381257</v>
      </c>
      <c r="D779" s="14" t="n">
        <v>2940</v>
      </c>
      <c r="E779" s="15" t="n">
        <f aca="false">B779/D779</f>
        <v>41.9882250171524</v>
      </c>
      <c r="F779" s="15" t="n">
        <f aca="false">C779/D779</f>
        <v>36.9623215582507</v>
      </c>
      <c r="G779" s="13" t="n">
        <f aca="false">B779-C779</f>
        <v>14776.156169171</v>
      </c>
      <c r="H779" s="16" t="n">
        <f aca="false">G779/B779</f>
        <v>0.119697926188797</v>
      </c>
      <c r="I779" s="15" t="n">
        <f aca="false">G779/D779</f>
        <v>5.0259034589017</v>
      </c>
      <c r="J779" s="16" t="n">
        <f aca="false">I779/E779</f>
        <v>0.119697926188797</v>
      </c>
      <c r="K779" s="17" t="str">
        <f aca="false">TEXT(A779,"dddd")</f>
        <v>Monday</v>
      </c>
      <c r="L779" s="17" t="str">
        <f aca="false">IF(AND(A779&gt;=DATE(2014,9,24),A779&lt;=DATE(2014,10,6)),"Promo 1",IF(AND(A779&gt;=DATE(2014,9,10),A779&lt;=DATE(2014,9,23)),"Baseline 1",IF(AND(A779&gt;=DATE(2015,9,23),A779&lt;=DATE(2015,10,6)),"Promo 2",IF(AND(A779&gt;=DATE(2015,9,9),A779&lt;=DATE(2015,9,22)),"Baseline 2",IF(AND(A779&gt;=DATE(2016,6,23),A779&lt;=DATE(2016,7,6)),"Promo 3",IF(AND(A779&gt;=DATE(2016,6,9),A779&lt;=DATE(2016,6,22)),"Baseline 3","Other"))))))</f>
        <v>Other</v>
      </c>
    </row>
    <row r="780" customFormat="false" ht="15" hidden="false" customHeight="true" outlineLevel="0" collapsed="false">
      <c r="A780" s="12" t="n">
        <v>42416</v>
      </c>
      <c r="B780" s="13" t="n">
        <v>77344.6918736694</v>
      </c>
      <c r="C780" s="13" t="n">
        <v>68269.2488384107</v>
      </c>
      <c r="D780" s="14" t="n">
        <v>1841</v>
      </c>
      <c r="E780" s="15" t="n">
        <f aca="false">B780/D780</f>
        <v>42.012325841211</v>
      </c>
      <c r="F780" s="15" t="n">
        <f aca="false">C780/D780</f>
        <v>37.0826989888162</v>
      </c>
      <c r="G780" s="13" t="n">
        <f aca="false">B780-C780</f>
        <v>9075.44303525871</v>
      </c>
      <c r="H780" s="16" t="n">
        <f aca="false">G780/B780</f>
        <v>0.117337632556376</v>
      </c>
      <c r="I780" s="15" t="n">
        <f aca="false">G780/D780</f>
        <v>4.92962685239474</v>
      </c>
      <c r="J780" s="16" t="n">
        <f aca="false">I780/E780</f>
        <v>0.117337632556376</v>
      </c>
      <c r="K780" s="17" t="str">
        <f aca="false">TEXT(A780,"dddd")</f>
        <v>Tuesday</v>
      </c>
      <c r="L780" s="17" t="str">
        <f aca="false">IF(AND(A780&gt;=DATE(2014,9,24),A780&lt;=DATE(2014,10,6)),"Promo 1",IF(AND(A780&gt;=DATE(2014,9,10),A780&lt;=DATE(2014,9,23)),"Baseline 1",IF(AND(A780&gt;=DATE(2015,9,23),A780&lt;=DATE(2015,10,6)),"Promo 2",IF(AND(A780&gt;=DATE(2015,9,9),A780&lt;=DATE(2015,9,22)),"Baseline 2",IF(AND(A780&gt;=DATE(2016,6,23),A780&lt;=DATE(2016,7,6)),"Promo 3",IF(AND(A780&gt;=DATE(2016,6,9),A780&lt;=DATE(2016,6,22)),"Baseline 3","Other"))))))</f>
        <v>Other</v>
      </c>
    </row>
    <row r="781" customFormat="false" ht="15" hidden="false" customHeight="true" outlineLevel="0" collapsed="false">
      <c r="A781" s="12" t="n">
        <v>42417</v>
      </c>
      <c r="B781" s="13" t="n">
        <v>158963.024881795</v>
      </c>
      <c r="C781" s="13" t="n">
        <v>167521.525860537</v>
      </c>
      <c r="D781" s="14" t="n">
        <v>4529</v>
      </c>
      <c r="E781" s="15" t="n">
        <f aca="false">B781/D781</f>
        <v>35.0989235773449</v>
      </c>
      <c r="F781" s="15" t="n">
        <f aca="false">C781/D781</f>
        <v>36.988634546376</v>
      </c>
      <c r="G781" s="13" t="n">
        <f aca="false">B781-C781</f>
        <v>-8558.500978742</v>
      </c>
      <c r="H781" s="16" t="n">
        <f aca="false">G781/B781</f>
        <v>-0.0538395704605276</v>
      </c>
      <c r="I781" s="15" t="n">
        <f aca="false">G781/D781</f>
        <v>-1.88971096903113</v>
      </c>
      <c r="J781" s="16" t="n">
        <f aca="false">I781/E781</f>
        <v>-0.0538395704605276</v>
      </c>
      <c r="K781" s="17" t="str">
        <f aca="false">TEXT(A781,"dddd")</f>
        <v>Wednesday</v>
      </c>
      <c r="L781" s="17" t="str">
        <f aca="false">IF(AND(A781&gt;=DATE(2014,9,24),A781&lt;=DATE(2014,10,6)),"Promo 1",IF(AND(A781&gt;=DATE(2014,9,10),A781&lt;=DATE(2014,9,23)),"Baseline 1",IF(AND(A781&gt;=DATE(2015,9,23),A781&lt;=DATE(2015,10,6)),"Promo 2",IF(AND(A781&gt;=DATE(2015,9,9),A781&lt;=DATE(2015,9,22)),"Baseline 2",IF(AND(A781&gt;=DATE(2016,6,23),A781&lt;=DATE(2016,7,6)),"Promo 3",IF(AND(A781&gt;=DATE(2016,6,9),A781&lt;=DATE(2016,6,22)),"Baseline 3","Other"))))))</f>
        <v>Other</v>
      </c>
    </row>
    <row r="782" customFormat="false" ht="15" hidden="false" customHeight="true" outlineLevel="0" collapsed="false">
      <c r="A782" s="12" t="n">
        <v>42418</v>
      </c>
      <c r="B782" s="13" t="n">
        <v>69598.0711529397</v>
      </c>
      <c r="C782" s="13" t="n">
        <v>61492.9683081792</v>
      </c>
      <c r="D782" s="14" t="n">
        <v>1658</v>
      </c>
      <c r="E782" s="15" t="n">
        <f aca="false">B782/D782</f>
        <v>41.9771237351868</v>
      </c>
      <c r="F782" s="15" t="n">
        <f aca="false">C782/D782</f>
        <v>37.0886419229066</v>
      </c>
      <c r="G782" s="13" t="n">
        <f aca="false">B782-C782</f>
        <v>8105.10284476049</v>
      </c>
      <c r="H782" s="16" t="n">
        <f aca="false">G782/B782</f>
        <v>0.116455854458233</v>
      </c>
      <c r="I782" s="15" t="n">
        <f aca="false">G782/D782</f>
        <v>4.88848181228015</v>
      </c>
      <c r="J782" s="16" t="n">
        <f aca="false">I782/E782</f>
        <v>0.116455854458233</v>
      </c>
      <c r="K782" s="17" t="str">
        <f aca="false">TEXT(A782,"dddd")</f>
        <v>Thursday</v>
      </c>
      <c r="L782" s="17" t="str">
        <f aca="false">IF(AND(A782&gt;=DATE(2014,9,24),A782&lt;=DATE(2014,10,6)),"Promo 1",IF(AND(A782&gt;=DATE(2014,9,10),A782&lt;=DATE(2014,9,23)),"Baseline 1",IF(AND(A782&gt;=DATE(2015,9,23),A782&lt;=DATE(2015,10,6)),"Promo 2",IF(AND(A782&gt;=DATE(2015,9,9),A782&lt;=DATE(2015,9,22)),"Baseline 2",IF(AND(A782&gt;=DATE(2016,6,23),A782&lt;=DATE(2016,7,6)),"Promo 3",IF(AND(A782&gt;=DATE(2016,6,9),A782&lt;=DATE(2016,6,22)),"Baseline 3","Other"))))))</f>
        <v>Other</v>
      </c>
    </row>
    <row r="783" customFormat="false" ht="15" hidden="false" customHeight="true" outlineLevel="0" collapsed="false">
      <c r="A783" s="12" t="n">
        <v>42419</v>
      </c>
      <c r="B783" s="13" t="n">
        <v>161275.602198805</v>
      </c>
      <c r="C783" s="13" t="n">
        <v>143446.358327586</v>
      </c>
      <c r="D783" s="14" t="n">
        <v>3841</v>
      </c>
      <c r="E783" s="15" t="n">
        <f aca="false">B783/D783</f>
        <v>41.9879203850052</v>
      </c>
      <c r="F783" s="15" t="n">
        <f aca="false">C783/D783</f>
        <v>37.3460969350654</v>
      </c>
      <c r="G783" s="13" t="n">
        <f aca="false">B783-C783</f>
        <v>17829.243871219</v>
      </c>
      <c r="H783" s="16" t="n">
        <f aca="false">G783/B783</f>
        <v>0.110551401626396</v>
      </c>
      <c r="I783" s="15" t="n">
        <f aca="false">G783/D783</f>
        <v>4.64182344993986</v>
      </c>
      <c r="J783" s="16" t="n">
        <f aca="false">I783/E783</f>
        <v>0.110551401626396</v>
      </c>
      <c r="K783" s="17" t="str">
        <f aca="false">TEXT(A783,"dddd")</f>
        <v>Friday</v>
      </c>
      <c r="L783" s="17" t="str">
        <f aca="false">IF(AND(A783&gt;=DATE(2014,9,24),A783&lt;=DATE(2014,10,6)),"Promo 1",IF(AND(A783&gt;=DATE(2014,9,10),A783&lt;=DATE(2014,9,23)),"Baseline 1",IF(AND(A783&gt;=DATE(2015,9,23),A783&lt;=DATE(2015,10,6)),"Promo 2",IF(AND(A783&gt;=DATE(2015,9,9),A783&lt;=DATE(2015,9,22)),"Baseline 2",IF(AND(A783&gt;=DATE(2016,6,23),A783&lt;=DATE(2016,7,6)),"Promo 3",IF(AND(A783&gt;=DATE(2016,6,9),A783&lt;=DATE(2016,6,22)),"Baseline 3","Other"))))))</f>
        <v>Other</v>
      </c>
    </row>
    <row r="784" customFormat="false" ht="15" hidden="false" customHeight="true" outlineLevel="0" collapsed="false">
      <c r="A784" s="12" t="n">
        <v>42420</v>
      </c>
      <c r="B784" s="13" t="n">
        <v>325215.076792383</v>
      </c>
      <c r="C784" s="13" t="n">
        <v>345446.00184871</v>
      </c>
      <c r="D784" s="14" t="n">
        <v>9260</v>
      </c>
      <c r="E784" s="15" t="n">
        <f aca="false">B784/D784</f>
        <v>35.1204186600846</v>
      </c>
      <c r="F784" s="15" t="n">
        <f aca="false">C784/D784</f>
        <v>37.3051837849579</v>
      </c>
      <c r="G784" s="13" t="n">
        <f aca="false">B784-C784</f>
        <v>-20230.925056327</v>
      </c>
      <c r="H784" s="16" t="n">
        <f aca="false">G784/B784</f>
        <v>-0.0622078326007082</v>
      </c>
      <c r="I784" s="15" t="n">
        <f aca="false">G784/D784</f>
        <v>-2.18476512487333</v>
      </c>
      <c r="J784" s="16" t="n">
        <f aca="false">I784/E784</f>
        <v>-0.0622078326007082</v>
      </c>
      <c r="K784" s="17" t="str">
        <f aca="false">TEXT(A784,"dddd")</f>
        <v>Saturday</v>
      </c>
      <c r="L784" s="17" t="str">
        <f aca="false">IF(AND(A784&gt;=DATE(2014,9,24),A784&lt;=DATE(2014,10,6)),"Promo 1",IF(AND(A784&gt;=DATE(2014,9,10),A784&lt;=DATE(2014,9,23)),"Baseline 1",IF(AND(A784&gt;=DATE(2015,9,23),A784&lt;=DATE(2015,10,6)),"Promo 2",IF(AND(A784&gt;=DATE(2015,9,9),A784&lt;=DATE(2015,9,22)),"Baseline 2",IF(AND(A784&gt;=DATE(2016,6,23),A784&lt;=DATE(2016,7,6)),"Promo 3",IF(AND(A784&gt;=DATE(2016,6,9),A784&lt;=DATE(2016,6,22)),"Baseline 3","Other"))))))</f>
        <v>Other</v>
      </c>
    </row>
    <row r="785" customFormat="false" ht="15" hidden="false" customHeight="true" outlineLevel="0" collapsed="false">
      <c r="A785" s="12" t="n">
        <v>42421</v>
      </c>
      <c r="B785" s="13" t="n">
        <v>96957.2958444581</v>
      </c>
      <c r="C785" s="13" t="n">
        <v>86455.4943780436</v>
      </c>
      <c r="D785" s="14" t="n">
        <v>2308</v>
      </c>
      <c r="E785" s="15" t="n">
        <f aca="false">B785/D785</f>
        <v>42.0092269690027</v>
      </c>
      <c r="F785" s="15" t="n">
        <f aca="false">C785/D785</f>
        <v>37.4590530234158</v>
      </c>
      <c r="G785" s="13" t="n">
        <f aca="false">B785-C785</f>
        <v>10501.8014664145</v>
      </c>
      <c r="H785" s="16" t="n">
        <f aca="false">G785/B785</f>
        <v>0.108313679491039</v>
      </c>
      <c r="I785" s="15" t="n">
        <f aca="false">G785/D785</f>
        <v>4.55017394558687</v>
      </c>
      <c r="J785" s="16" t="n">
        <f aca="false">I785/E785</f>
        <v>0.108313679491039</v>
      </c>
      <c r="K785" s="17" t="str">
        <f aca="false">TEXT(A785,"dddd")</f>
        <v>Sunday</v>
      </c>
      <c r="L785" s="17" t="str">
        <f aca="false">IF(AND(A785&gt;=DATE(2014,9,24),A785&lt;=DATE(2014,10,6)),"Promo 1",IF(AND(A785&gt;=DATE(2014,9,10),A785&lt;=DATE(2014,9,23)),"Baseline 1",IF(AND(A785&gt;=DATE(2015,9,23),A785&lt;=DATE(2015,10,6)),"Promo 2",IF(AND(A785&gt;=DATE(2015,9,9),A785&lt;=DATE(2015,9,22)),"Baseline 2",IF(AND(A785&gt;=DATE(2016,6,23),A785&lt;=DATE(2016,7,6)),"Promo 3",IF(AND(A785&gt;=DATE(2016,6,9),A785&lt;=DATE(2016,6,22)),"Baseline 3","Other"))))))</f>
        <v>Other</v>
      </c>
    </row>
    <row r="786" customFormat="false" ht="15" hidden="false" customHeight="true" outlineLevel="0" collapsed="false">
      <c r="A786" s="12" t="n">
        <v>42422</v>
      </c>
      <c r="B786" s="13" t="n">
        <v>85224.4770912288</v>
      </c>
      <c r="C786" s="13" t="n">
        <v>75960.7180219404</v>
      </c>
      <c r="D786" s="14" t="n">
        <v>2028</v>
      </c>
      <c r="E786" s="15" t="n">
        <f aca="false">B786/D786</f>
        <v>42.0239038911385</v>
      </c>
      <c r="F786" s="15" t="n">
        <f aca="false">C786/D786</f>
        <v>37.4559753559864</v>
      </c>
      <c r="G786" s="13" t="n">
        <f aca="false">B786-C786</f>
        <v>9263.7590692884</v>
      </c>
      <c r="H786" s="16" t="n">
        <f aca="false">G786/B786</f>
        <v>0.108698338616639</v>
      </c>
      <c r="I786" s="15" t="n">
        <f aca="false">G786/D786</f>
        <v>4.56792853515207</v>
      </c>
      <c r="J786" s="16" t="n">
        <f aca="false">I786/E786</f>
        <v>0.108698338616639</v>
      </c>
      <c r="K786" s="17" t="str">
        <f aca="false">TEXT(A786,"dddd")</f>
        <v>Monday</v>
      </c>
      <c r="L786" s="17" t="str">
        <f aca="false">IF(AND(A786&gt;=DATE(2014,9,24),A786&lt;=DATE(2014,10,6)),"Promo 1",IF(AND(A786&gt;=DATE(2014,9,10),A786&lt;=DATE(2014,9,23)),"Baseline 1",IF(AND(A786&gt;=DATE(2015,9,23),A786&lt;=DATE(2015,10,6)),"Promo 2",IF(AND(A786&gt;=DATE(2015,9,9),A786&lt;=DATE(2015,9,22)),"Baseline 2",IF(AND(A786&gt;=DATE(2016,6,23),A786&lt;=DATE(2016,7,6)),"Promo 3",IF(AND(A786&gt;=DATE(2016,6,9),A786&lt;=DATE(2016,6,22)),"Baseline 3","Other"))))))</f>
        <v>Other</v>
      </c>
    </row>
    <row r="787" customFormat="false" ht="15" hidden="false" customHeight="true" outlineLevel="0" collapsed="false">
      <c r="A787" s="12" t="n">
        <v>42423</v>
      </c>
      <c r="B787" s="13" t="n">
        <v>54612.8788415399</v>
      </c>
      <c r="C787" s="13" t="n">
        <v>49071.8025378972</v>
      </c>
      <c r="D787" s="14" t="n">
        <v>1301</v>
      </c>
      <c r="E787" s="15" t="n">
        <f aca="false">B787/D787</f>
        <v>41.9776163270868</v>
      </c>
      <c r="F787" s="15" t="n">
        <f aca="false">C787/D787</f>
        <v>37.7185261628726</v>
      </c>
      <c r="G787" s="13" t="n">
        <f aca="false">B787-C787</f>
        <v>5541.0763036427</v>
      </c>
      <c r="H787" s="16" t="n">
        <f aca="false">G787/B787</f>
        <v>0.101460981753411</v>
      </c>
      <c r="I787" s="15" t="n">
        <f aca="false">G787/D787</f>
        <v>4.25909016421422</v>
      </c>
      <c r="J787" s="16" t="n">
        <f aca="false">I787/E787</f>
        <v>0.101460981753411</v>
      </c>
      <c r="K787" s="17" t="str">
        <f aca="false">TEXT(A787,"dddd")</f>
        <v>Tuesday</v>
      </c>
      <c r="L787" s="17" t="str">
        <f aca="false">IF(AND(A787&gt;=DATE(2014,9,24),A787&lt;=DATE(2014,10,6)),"Promo 1",IF(AND(A787&gt;=DATE(2014,9,10),A787&lt;=DATE(2014,9,23)),"Baseline 1",IF(AND(A787&gt;=DATE(2015,9,23),A787&lt;=DATE(2015,10,6)),"Promo 2",IF(AND(A787&gt;=DATE(2015,9,9),A787&lt;=DATE(2015,9,22)),"Baseline 2",IF(AND(A787&gt;=DATE(2016,6,23),A787&lt;=DATE(2016,7,6)),"Promo 3",IF(AND(A787&gt;=DATE(2016,6,9),A787&lt;=DATE(2016,6,22)),"Baseline 3","Other"))))))</f>
        <v>Other</v>
      </c>
    </row>
    <row r="788" customFormat="false" ht="15" hidden="false" customHeight="true" outlineLevel="0" collapsed="false">
      <c r="A788" s="12" t="n">
        <v>42424</v>
      </c>
      <c r="B788" s="13" t="n">
        <v>81530.6123823247</v>
      </c>
      <c r="C788" s="13" t="n">
        <v>81738.0564373136</v>
      </c>
      <c r="D788" s="14" t="n">
        <v>2213</v>
      </c>
      <c r="E788" s="15" t="n">
        <f aca="false">B788/D788</f>
        <v>36.8416684963058</v>
      </c>
      <c r="F788" s="15" t="n">
        <f aca="false">C788/D788</f>
        <v>36.9354073372407</v>
      </c>
      <c r="G788" s="13" t="n">
        <f aca="false">B788-C788</f>
        <v>-207.444054988897</v>
      </c>
      <c r="H788" s="16" t="n">
        <f aca="false">G788/B788</f>
        <v>-0.00254437013199559</v>
      </c>
      <c r="I788" s="15" t="n">
        <f aca="false">G788/D788</f>
        <v>-0.0937388409348833</v>
      </c>
      <c r="J788" s="16" t="n">
        <f aca="false">I788/E788</f>
        <v>-0.00254437013199559</v>
      </c>
      <c r="K788" s="17" t="str">
        <f aca="false">TEXT(A788,"dddd")</f>
        <v>Wednesday</v>
      </c>
      <c r="L788" s="17" t="str">
        <f aca="false">IF(AND(A788&gt;=DATE(2014,9,24),A788&lt;=DATE(2014,10,6)),"Promo 1",IF(AND(A788&gt;=DATE(2014,9,10),A788&lt;=DATE(2014,9,23)),"Baseline 1",IF(AND(A788&gt;=DATE(2015,9,23),A788&lt;=DATE(2015,10,6)),"Promo 2",IF(AND(A788&gt;=DATE(2015,9,9),A788&lt;=DATE(2015,9,22)),"Baseline 2",IF(AND(A788&gt;=DATE(2016,6,23),A788&lt;=DATE(2016,7,6)),"Promo 3",IF(AND(A788&gt;=DATE(2016,6,9),A788&lt;=DATE(2016,6,22)),"Baseline 3","Other"))))))</f>
        <v>Other</v>
      </c>
    </row>
    <row r="789" customFormat="false" ht="15" hidden="false" customHeight="true" outlineLevel="0" collapsed="false">
      <c r="A789" s="12" t="n">
        <v>42425</v>
      </c>
      <c r="B789" s="13" t="n">
        <v>160947.532640188</v>
      </c>
      <c r="C789" s="13" t="n">
        <v>162597.496845268</v>
      </c>
      <c r="D789" s="14" t="n">
        <v>4404</v>
      </c>
      <c r="E789" s="15" t="n">
        <f aca="false">B789/D789</f>
        <v>36.545761271614</v>
      </c>
      <c r="F789" s="15" t="n">
        <f aca="false">C789/D789</f>
        <v>36.9204125443388</v>
      </c>
      <c r="G789" s="13" t="n">
        <f aca="false">B789-C789</f>
        <v>-1649.96420508</v>
      </c>
      <c r="H789" s="16" t="n">
        <f aca="false">G789/B789</f>
        <v>-0.0102515656997901</v>
      </c>
      <c r="I789" s="15" t="n">
        <f aca="false">G789/D789</f>
        <v>-0.374651272724796</v>
      </c>
      <c r="J789" s="16" t="n">
        <f aca="false">I789/E789</f>
        <v>-0.0102515656997901</v>
      </c>
      <c r="K789" s="17" t="str">
        <f aca="false">TEXT(A789,"dddd")</f>
        <v>Thursday</v>
      </c>
      <c r="L789" s="17" t="str">
        <f aca="false">IF(AND(A789&gt;=DATE(2014,9,24),A789&lt;=DATE(2014,10,6)),"Promo 1",IF(AND(A789&gt;=DATE(2014,9,10),A789&lt;=DATE(2014,9,23)),"Baseline 1",IF(AND(A789&gt;=DATE(2015,9,23),A789&lt;=DATE(2015,10,6)),"Promo 2",IF(AND(A789&gt;=DATE(2015,9,9),A789&lt;=DATE(2015,9,22)),"Baseline 2",IF(AND(A789&gt;=DATE(2016,6,23),A789&lt;=DATE(2016,7,6)),"Promo 3",IF(AND(A789&gt;=DATE(2016,6,9),A789&lt;=DATE(2016,6,22)),"Baseline 3","Other"))))))</f>
        <v>Other</v>
      </c>
    </row>
    <row r="790" customFormat="false" ht="15" hidden="false" customHeight="true" outlineLevel="0" collapsed="false">
      <c r="A790" s="12" t="n">
        <v>42426</v>
      </c>
      <c r="B790" s="13" t="n">
        <v>188736.247417435</v>
      </c>
      <c r="C790" s="13" t="n">
        <v>183103.233687991</v>
      </c>
      <c r="D790" s="14" t="n">
        <v>4935</v>
      </c>
      <c r="E790" s="15" t="n">
        <f aca="false">B790/D790</f>
        <v>38.2444270349412</v>
      </c>
      <c r="F790" s="15" t="n">
        <f aca="false">C790/D790</f>
        <v>37.1029855497449</v>
      </c>
      <c r="G790" s="13" t="n">
        <f aca="false">B790-C790</f>
        <v>5633.01372944398</v>
      </c>
      <c r="H790" s="16" t="n">
        <f aca="false">G790/B790</f>
        <v>0.0298459559651265</v>
      </c>
      <c r="I790" s="15" t="n">
        <f aca="false">G790/D790</f>
        <v>1.14144148519635</v>
      </c>
      <c r="J790" s="16" t="n">
        <f aca="false">I790/E790</f>
        <v>0.0298459559651265</v>
      </c>
      <c r="K790" s="17" t="str">
        <f aca="false">TEXT(A790,"dddd")</f>
        <v>Friday</v>
      </c>
      <c r="L790" s="17" t="str">
        <f aca="false">IF(AND(A790&gt;=DATE(2014,9,24),A790&lt;=DATE(2014,10,6)),"Promo 1",IF(AND(A790&gt;=DATE(2014,9,10),A790&lt;=DATE(2014,9,23)),"Baseline 1",IF(AND(A790&gt;=DATE(2015,9,23),A790&lt;=DATE(2015,10,6)),"Promo 2",IF(AND(A790&gt;=DATE(2015,9,9),A790&lt;=DATE(2015,9,22)),"Baseline 2",IF(AND(A790&gt;=DATE(2016,6,23),A790&lt;=DATE(2016,7,6)),"Promo 3",IF(AND(A790&gt;=DATE(2016,6,9),A790&lt;=DATE(2016,6,22)),"Baseline 3","Other"))))))</f>
        <v>Other</v>
      </c>
    </row>
    <row r="791" customFormat="false" ht="15" hidden="false" customHeight="true" outlineLevel="0" collapsed="false">
      <c r="A791" s="12" t="n">
        <v>42427</v>
      </c>
      <c r="B791" s="13" t="n">
        <v>215951.507867074</v>
      </c>
      <c r="C791" s="13" t="n">
        <v>210032.788078559</v>
      </c>
      <c r="D791" s="14" t="n">
        <v>5609</v>
      </c>
      <c r="E791" s="15" t="n">
        <f aca="false">B791/D791</f>
        <v>38.5008928270768</v>
      </c>
      <c r="F791" s="15" t="n">
        <f aca="false">C791/D791</f>
        <v>37.4456744657798</v>
      </c>
      <c r="G791" s="13" t="n">
        <f aca="false">B791-C791</f>
        <v>5918.71978851498</v>
      </c>
      <c r="H791" s="16" t="n">
        <f aca="false">G791/B791</f>
        <v>0.0274076335329789</v>
      </c>
      <c r="I791" s="15" t="n">
        <f aca="false">G791/D791</f>
        <v>1.05521836129702</v>
      </c>
      <c r="J791" s="16" t="n">
        <f aca="false">I791/E791</f>
        <v>0.0274076335329789</v>
      </c>
      <c r="K791" s="17" t="str">
        <f aca="false">TEXT(A791,"dddd")</f>
        <v>Saturday</v>
      </c>
      <c r="L791" s="17" t="str">
        <f aca="false">IF(AND(A791&gt;=DATE(2014,9,24),A791&lt;=DATE(2014,10,6)),"Promo 1",IF(AND(A791&gt;=DATE(2014,9,10),A791&lt;=DATE(2014,9,23)),"Baseline 1",IF(AND(A791&gt;=DATE(2015,9,23),A791&lt;=DATE(2015,10,6)),"Promo 2",IF(AND(A791&gt;=DATE(2015,9,9),A791&lt;=DATE(2015,9,22)),"Baseline 2",IF(AND(A791&gt;=DATE(2016,6,23),A791&lt;=DATE(2016,7,6)),"Promo 3",IF(AND(A791&gt;=DATE(2016,6,9),A791&lt;=DATE(2016,6,22)),"Baseline 3","Other"))))))</f>
        <v>Other</v>
      </c>
    </row>
    <row r="792" customFormat="false" ht="15" hidden="false" customHeight="true" outlineLevel="0" collapsed="false">
      <c r="A792" s="12" t="n">
        <v>42428</v>
      </c>
      <c r="B792" s="13" t="n">
        <v>134995.854495943</v>
      </c>
      <c r="C792" s="13" t="n">
        <v>129938.705770359</v>
      </c>
      <c r="D792" s="14" t="n">
        <v>3452</v>
      </c>
      <c r="E792" s="15" t="n">
        <f aca="false">B792/D792</f>
        <v>39.1065627160901</v>
      </c>
      <c r="F792" s="15" t="n">
        <f aca="false">C792/D792</f>
        <v>37.6415717758862</v>
      </c>
      <c r="G792" s="13" t="n">
        <f aca="false">B792-C792</f>
        <v>5057.148725584</v>
      </c>
      <c r="H792" s="16" t="n">
        <f aca="false">G792/B792</f>
        <v>0.0374615112772666</v>
      </c>
      <c r="I792" s="15" t="n">
        <f aca="false">G792/D792</f>
        <v>1.46499094020394</v>
      </c>
      <c r="J792" s="16" t="n">
        <f aca="false">I792/E792</f>
        <v>0.0374615112772666</v>
      </c>
      <c r="K792" s="17" t="str">
        <f aca="false">TEXT(A792,"dddd")</f>
        <v>Sunday</v>
      </c>
      <c r="L792" s="17" t="str">
        <f aca="false">IF(AND(A792&gt;=DATE(2014,9,24),A792&lt;=DATE(2014,10,6)),"Promo 1",IF(AND(A792&gt;=DATE(2014,9,10),A792&lt;=DATE(2014,9,23)),"Baseline 1",IF(AND(A792&gt;=DATE(2015,9,23),A792&lt;=DATE(2015,10,6)),"Promo 2",IF(AND(A792&gt;=DATE(2015,9,9),A792&lt;=DATE(2015,9,22)),"Baseline 2",IF(AND(A792&gt;=DATE(2016,6,23),A792&lt;=DATE(2016,7,6)),"Promo 3",IF(AND(A792&gt;=DATE(2016,6,9),A792&lt;=DATE(2016,6,22)),"Baseline 3","Other"))))))</f>
        <v>Other</v>
      </c>
    </row>
    <row r="793" customFormat="false" ht="15" hidden="false" customHeight="true" outlineLevel="0" collapsed="false">
      <c r="A793" s="12" t="n">
        <v>42429</v>
      </c>
      <c r="B793" s="13" t="n">
        <v>163079.378043968</v>
      </c>
      <c r="C793" s="13" t="n">
        <v>160332.589406031</v>
      </c>
      <c r="D793" s="14" t="n">
        <v>4270</v>
      </c>
      <c r="E793" s="15" t="n">
        <f aca="false">B793/D793</f>
        <v>38.1918918135756</v>
      </c>
      <c r="F793" s="15" t="n">
        <f aca="false">C793/D793</f>
        <v>37.5486157859557</v>
      </c>
      <c r="G793" s="13" t="n">
        <f aca="false">B793-C793</f>
        <v>2746.78863793699</v>
      </c>
      <c r="H793" s="16" t="n">
        <f aca="false">G793/B793</f>
        <v>0.0168432616734436</v>
      </c>
      <c r="I793" s="15" t="n">
        <f aca="false">G793/D793</f>
        <v>0.643276027619904</v>
      </c>
      <c r="J793" s="16" t="n">
        <f aca="false">I793/E793</f>
        <v>0.0168432616734436</v>
      </c>
      <c r="K793" s="17" t="str">
        <f aca="false">TEXT(A793,"dddd")</f>
        <v>Monday</v>
      </c>
      <c r="L793" s="17" t="str">
        <f aca="false">IF(AND(A793&gt;=DATE(2014,9,24),A793&lt;=DATE(2014,10,6)),"Promo 1",IF(AND(A793&gt;=DATE(2014,9,10),A793&lt;=DATE(2014,9,23)),"Baseline 1",IF(AND(A793&gt;=DATE(2015,9,23),A793&lt;=DATE(2015,10,6)),"Promo 2",IF(AND(A793&gt;=DATE(2015,9,9),A793&lt;=DATE(2015,9,22)),"Baseline 2",IF(AND(A793&gt;=DATE(2016,6,23),A793&lt;=DATE(2016,7,6)),"Promo 3",IF(AND(A793&gt;=DATE(2016,6,9),A793&lt;=DATE(2016,6,22)),"Baseline 3","Other"))))))</f>
        <v>Other</v>
      </c>
    </row>
    <row r="794" customFormat="false" ht="15" hidden="false" customHeight="true" outlineLevel="0" collapsed="false">
      <c r="A794" s="12" t="n">
        <v>42430</v>
      </c>
      <c r="B794" s="13" t="n">
        <v>180828.674091826</v>
      </c>
      <c r="C794" s="13" t="n">
        <v>182962.336996476</v>
      </c>
      <c r="D794" s="14" t="n">
        <v>4719</v>
      </c>
      <c r="E794" s="15" t="n">
        <f aca="false">B794/D794</f>
        <v>38.3192782563734</v>
      </c>
      <c r="F794" s="15" t="n">
        <f aca="false">C794/D794</f>
        <v>38.7714212749472</v>
      </c>
      <c r="G794" s="13" t="n">
        <f aca="false">B794-C794</f>
        <v>-2133.66290465</v>
      </c>
      <c r="H794" s="16" t="n">
        <f aca="false">G794/B794</f>
        <v>-0.0117993615523969</v>
      </c>
      <c r="I794" s="15" t="n">
        <f aca="false">G794/D794</f>
        <v>-0.452143018573851</v>
      </c>
      <c r="J794" s="16" t="n">
        <f aca="false">I794/E794</f>
        <v>-0.0117993615523969</v>
      </c>
      <c r="K794" s="17" t="str">
        <f aca="false">TEXT(A794,"dddd")</f>
        <v>Tuesday</v>
      </c>
      <c r="L794" s="17" t="str">
        <f aca="false">IF(AND(A794&gt;=DATE(2014,9,24),A794&lt;=DATE(2014,10,6)),"Promo 1",IF(AND(A794&gt;=DATE(2014,9,10),A794&lt;=DATE(2014,9,23)),"Baseline 1",IF(AND(A794&gt;=DATE(2015,9,23),A794&lt;=DATE(2015,10,6)),"Promo 2",IF(AND(A794&gt;=DATE(2015,9,9),A794&lt;=DATE(2015,9,22)),"Baseline 2",IF(AND(A794&gt;=DATE(2016,6,23),A794&lt;=DATE(2016,7,6)),"Promo 3",IF(AND(A794&gt;=DATE(2016,6,9),A794&lt;=DATE(2016,6,22)),"Baseline 3","Other"))))))</f>
        <v>Other</v>
      </c>
    </row>
    <row r="795" customFormat="false" ht="15" hidden="false" customHeight="true" outlineLevel="0" collapsed="false">
      <c r="A795" s="12" t="n">
        <v>42431</v>
      </c>
      <c r="B795" s="13" t="n">
        <v>171196.175194466</v>
      </c>
      <c r="C795" s="13" t="n">
        <v>174428.680891675</v>
      </c>
      <c r="D795" s="14" t="n">
        <v>4451</v>
      </c>
      <c r="E795" s="15" t="n">
        <f aca="false">B795/D795</f>
        <v>38.4624073678872</v>
      </c>
      <c r="F795" s="15" t="n">
        <f aca="false">C795/D795</f>
        <v>39.1886499419625</v>
      </c>
      <c r="G795" s="13" t="n">
        <f aca="false">B795-C795</f>
        <v>-3232.50569720901</v>
      </c>
      <c r="H795" s="16" t="n">
        <f aca="false">G795/B795</f>
        <v>-0.0188818803547283</v>
      </c>
      <c r="I795" s="15" t="n">
        <f aca="false">G795/D795</f>
        <v>-0.726242574075266</v>
      </c>
      <c r="J795" s="16" t="n">
        <f aca="false">I795/E795</f>
        <v>-0.0188818803547283</v>
      </c>
      <c r="K795" s="17" t="str">
        <f aca="false">TEXT(A795,"dddd")</f>
        <v>Wednesday</v>
      </c>
      <c r="L795" s="17" t="str">
        <f aca="false">IF(AND(A795&gt;=DATE(2014,9,24),A795&lt;=DATE(2014,10,6)),"Promo 1",IF(AND(A795&gt;=DATE(2014,9,10),A795&lt;=DATE(2014,9,23)),"Baseline 1",IF(AND(A795&gt;=DATE(2015,9,23),A795&lt;=DATE(2015,10,6)),"Promo 2",IF(AND(A795&gt;=DATE(2015,9,9),A795&lt;=DATE(2015,9,22)),"Baseline 2",IF(AND(A795&gt;=DATE(2016,6,23),A795&lt;=DATE(2016,7,6)),"Promo 3",IF(AND(A795&gt;=DATE(2016,6,9),A795&lt;=DATE(2016,6,22)),"Baseline 3","Other"))))))</f>
        <v>Other</v>
      </c>
    </row>
    <row r="796" customFormat="false" ht="15" hidden="false" customHeight="true" outlineLevel="0" collapsed="false">
      <c r="A796" s="12" t="n">
        <v>42432</v>
      </c>
      <c r="B796" s="13" t="n">
        <v>129719.050526334</v>
      </c>
      <c r="C796" s="13" t="n">
        <v>131961.932508289</v>
      </c>
      <c r="D796" s="14" t="n">
        <v>3364</v>
      </c>
      <c r="E796" s="15" t="n">
        <f aca="false">B796/D796</f>
        <v>38.560954377626</v>
      </c>
      <c r="F796" s="15" t="n">
        <f aca="false">C796/D796</f>
        <v>39.2276850500265</v>
      </c>
      <c r="G796" s="13" t="n">
        <f aca="false">B796-C796</f>
        <v>-2242.881981955</v>
      </c>
      <c r="H796" s="16" t="n">
        <f aca="false">G796/B796</f>
        <v>-0.0172903052624462</v>
      </c>
      <c r="I796" s="15" t="n">
        <f aca="false">G796/D796</f>
        <v>-0.666730672400415</v>
      </c>
      <c r="J796" s="16" t="n">
        <f aca="false">I796/E796</f>
        <v>-0.0172903052624462</v>
      </c>
      <c r="K796" s="17" t="str">
        <f aca="false">TEXT(A796,"dddd")</f>
        <v>Thursday</v>
      </c>
      <c r="L796" s="17" t="str">
        <f aca="false">IF(AND(A796&gt;=DATE(2014,9,24),A796&lt;=DATE(2014,10,6)),"Promo 1",IF(AND(A796&gt;=DATE(2014,9,10),A796&lt;=DATE(2014,9,23)),"Baseline 1",IF(AND(A796&gt;=DATE(2015,9,23),A796&lt;=DATE(2015,10,6)),"Promo 2",IF(AND(A796&gt;=DATE(2015,9,9),A796&lt;=DATE(2015,9,22)),"Baseline 2",IF(AND(A796&gt;=DATE(2016,6,23),A796&lt;=DATE(2016,7,6)),"Promo 3",IF(AND(A796&gt;=DATE(2016,6,9),A796&lt;=DATE(2016,6,22)),"Baseline 3","Other"))))))</f>
        <v>Other</v>
      </c>
    </row>
    <row r="797" customFormat="false" ht="15" hidden="false" customHeight="true" outlineLevel="0" collapsed="false">
      <c r="A797" s="12" t="n">
        <v>42433</v>
      </c>
      <c r="B797" s="13" t="n">
        <v>142127.642090613</v>
      </c>
      <c r="C797" s="13" t="n">
        <v>144039.4136827</v>
      </c>
      <c r="D797" s="14" t="n">
        <v>3665</v>
      </c>
      <c r="E797" s="15" t="n">
        <f aca="false">B797/D797</f>
        <v>38.7797113480527</v>
      </c>
      <c r="F797" s="15" t="n">
        <f aca="false">C797/D797</f>
        <v>39.301340704693</v>
      </c>
      <c r="G797" s="13" t="n">
        <f aca="false">B797-C797</f>
        <v>-1911.771592087</v>
      </c>
      <c r="H797" s="16" t="n">
        <f aca="false">G797/B797</f>
        <v>-0.0134510892038028</v>
      </c>
      <c r="I797" s="15" t="n">
        <f aca="false">G797/D797</f>
        <v>-0.521629356640381</v>
      </c>
      <c r="J797" s="16" t="n">
        <f aca="false">I797/E797</f>
        <v>-0.0134510892038028</v>
      </c>
      <c r="K797" s="17" t="str">
        <f aca="false">TEXT(A797,"dddd")</f>
        <v>Friday</v>
      </c>
      <c r="L797" s="17" t="str">
        <f aca="false">IF(AND(A797&gt;=DATE(2014,9,24),A797&lt;=DATE(2014,10,6)),"Promo 1",IF(AND(A797&gt;=DATE(2014,9,10),A797&lt;=DATE(2014,9,23)),"Baseline 1",IF(AND(A797&gt;=DATE(2015,9,23),A797&lt;=DATE(2015,10,6)),"Promo 2",IF(AND(A797&gt;=DATE(2015,9,9),A797&lt;=DATE(2015,9,22)),"Baseline 2",IF(AND(A797&gt;=DATE(2016,6,23),A797&lt;=DATE(2016,7,6)),"Promo 3",IF(AND(A797&gt;=DATE(2016,6,9),A797&lt;=DATE(2016,6,22)),"Baseline 3","Other"))))))</f>
        <v>Other</v>
      </c>
    </row>
    <row r="798" customFormat="false" ht="15" hidden="false" customHeight="true" outlineLevel="0" collapsed="false">
      <c r="A798" s="12" t="n">
        <v>42434</v>
      </c>
      <c r="B798" s="13" t="n">
        <v>152124.407894328</v>
      </c>
      <c r="C798" s="13" t="n">
        <v>153377.512038677</v>
      </c>
      <c r="D798" s="14" t="n">
        <v>3889</v>
      </c>
      <c r="E798" s="15" t="n">
        <f aca="false">B798/D798</f>
        <v>39.1165872703338</v>
      </c>
      <c r="F798" s="15" t="n">
        <f aca="false">C798/D798</f>
        <v>39.4388048440928</v>
      </c>
      <c r="G798" s="13" t="n">
        <f aca="false">B798-C798</f>
        <v>-1253.104144349</v>
      </c>
      <c r="H798" s="16" t="n">
        <f aca="false">G798/B798</f>
        <v>-0.00823736415276275</v>
      </c>
      <c r="I798" s="15" t="n">
        <f aca="false">G798/D798</f>
        <v>-0.322217573759063</v>
      </c>
      <c r="J798" s="16" t="n">
        <f aca="false">I798/E798</f>
        <v>-0.00823736415276275</v>
      </c>
      <c r="K798" s="17" t="str">
        <f aca="false">TEXT(A798,"dddd")</f>
        <v>Saturday</v>
      </c>
      <c r="L798" s="17" t="str">
        <f aca="false">IF(AND(A798&gt;=DATE(2014,9,24),A798&lt;=DATE(2014,10,6)),"Promo 1",IF(AND(A798&gt;=DATE(2014,9,10),A798&lt;=DATE(2014,9,23)),"Baseline 1",IF(AND(A798&gt;=DATE(2015,9,23),A798&lt;=DATE(2015,10,6)),"Promo 2",IF(AND(A798&gt;=DATE(2015,9,9),A798&lt;=DATE(2015,9,22)),"Baseline 2",IF(AND(A798&gt;=DATE(2016,6,23),A798&lt;=DATE(2016,7,6)),"Promo 3",IF(AND(A798&gt;=DATE(2016,6,9),A798&lt;=DATE(2016,6,22)),"Baseline 3","Other"))))))</f>
        <v>Other</v>
      </c>
    </row>
    <row r="799" customFormat="false" ht="15" hidden="false" customHeight="true" outlineLevel="0" collapsed="false">
      <c r="A799" s="12" t="n">
        <v>42435</v>
      </c>
      <c r="B799" s="13" t="n">
        <v>74132.7870230743</v>
      </c>
      <c r="C799" s="13" t="n">
        <v>74332.2794842242</v>
      </c>
      <c r="D799" s="14" t="n">
        <v>1882</v>
      </c>
      <c r="E799" s="15" t="n">
        <f aca="false">B799/D799</f>
        <v>39.3904288114104</v>
      </c>
      <c r="F799" s="15" t="n">
        <f aca="false">C799/D799</f>
        <v>39.4964290564422</v>
      </c>
      <c r="G799" s="13" t="n">
        <f aca="false">B799-C799</f>
        <v>-199.492461149901</v>
      </c>
      <c r="H799" s="16" t="n">
        <f aca="false">G799/B799</f>
        <v>-0.00269101526006041</v>
      </c>
      <c r="I799" s="15" t="n">
        <f aca="false">G799/D799</f>
        <v>-0.106000245031828</v>
      </c>
      <c r="J799" s="16" t="n">
        <f aca="false">I799/E799</f>
        <v>-0.00269101526006041</v>
      </c>
      <c r="K799" s="17" t="str">
        <f aca="false">TEXT(A799,"dddd")</f>
        <v>Sunday</v>
      </c>
      <c r="L799" s="17" t="str">
        <f aca="false">IF(AND(A799&gt;=DATE(2014,9,24),A799&lt;=DATE(2014,10,6)),"Promo 1",IF(AND(A799&gt;=DATE(2014,9,10),A799&lt;=DATE(2014,9,23)),"Baseline 1",IF(AND(A799&gt;=DATE(2015,9,23),A799&lt;=DATE(2015,10,6)),"Promo 2",IF(AND(A799&gt;=DATE(2015,9,9),A799&lt;=DATE(2015,9,22)),"Baseline 2",IF(AND(A799&gt;=DATE(2016,6,23),A799&lt;=DATE(2016,7,6)),"Promo 3",IF(AND(A799&gt;=DATE(2016,6,9),A799&lt;=DATE(2016,6,22)),"Baseline 3","Other"))))))</f>
        <v>Other</v>
      </c>
    </row>
    <row r="800" customFormat="false" ht="15" hidden="false" customHeight="true" outlineLevel="0" collapsed="false">
      <c r="A800" s="12" t="n">
        <v>42436</v>
      </c>
      <c r="B800" s="13" t="n">
        <v>91143.0286077093</v>
      </c>
      <c r="C800" s="13" t="n">
        <v>95167.5287320489</v>
      </c>
      <c r="D800" s="14" t="n">
        <v>2405</v>
      </c>
      <c r="E800" s="15" t="n">
        <f aca="false">B800/D800</f>
        <v>37.8973091923947</v>
      </c>
      <c r="F800" s="15" t="n">
        <f aca="false">C800/D800</f>
        <v>39.570698017484</v>
      </c>
      <c r="G800" s="13" t="n">
        <f aca="false">B800-C800</f>
        <v>-4024.5001243396</v>
      </c>
      <c r="H800" s="16" t="n">
        <f aca="false">G800/B800</f>
        <v>-0.0441558744077019</v>
      </c>
      <c r="I800" s="15" t="n">
        <f aca="false">G800/D800</f>
        <v>-1.67338882508923</v>
      </c>
      <c r="J800" s="16" t="n">
        <f aca="false">I800/E800</f>
        <v>-0.0441558744077019</v>
      </c>
      <c r="K800" s="17" t="str">
        <f aca="false">TEXT(A800,"dddd")</f>
        <v>Monday</v>
      </c>
      <c r="L800" s="17" t="str">
        <f aca="false">IF(AND(A800&gt;=DATE(2014,9,24),A800&lt;=DATE(2014,10,6)),"Promo 1",IF(AND(A800&gt;=DATE(2014,9,10),A800&lt;=DATE(2014,9,23)),"Baseline 1",IF(AND(A800&gt;=DATE(2015,9,23),A800&lt;=DATE(2015,10,6)),"Promo 2",IF(AND(A800&gt;=DATE(2015,9,9),A800&lt;=DATE(2015,9,22)),"Baseline 2",IF(AND(A800&gt;=DATE(2016,6,23),A800&lt;=DATE(2016,7,6)),"Promo 3",IF(AND(A800&gt;=DATE(2016,6,9),A800&lt;=DATE(2016,6,22)),"Baseline 3","Other"))))))</f>
        <v>Other</v>
      </c>
    </row>
    <row r="801" customFormat="false" ht="15" hidden="false" customHeight="true" outlineLevel="0" collapsed="false">
      <c r="A801" s="12" t="n">
        <v>42437</v>
      </c>
      <c r="B801" s="13" t="n">
        <v>60528.093358145</v>
      </c>
      <c r="C801" s="13" t="n">
        <v>62342.8811663599</v>
      </c>
      <c r="D801" s="14" t="n">
        <v>1577</v>
      </c>
      <c r="E801" s="15" t="n">
        <f aca="false">B801/D801</f>
        <v>38.381796676059</v>
      </c>
      <c r="F801" s="15" t="n">
        <f aca="false">C801/D801</f>
        <v>39.5325815893214</v>
      </c>
      <c r="G801" s="13" t="n">
        <f aca="false">B801-C801</f>
        <v>-1814.7878082149</v>
      </c>
      <c r="H801" s="16" t="n">
        <f aca="false">G801/B801</f>
        <v>-0.0299825702005313</v>
      </c>
      <c r="I801" s="15" t="n">
        <f aca="false">G801/D801</f>
        <v>-1.15078491326246</v>
      </c>
      <c r="J801" s="16" t="n">
        <f aca="false">I801/E801</f>
        <v>-0.0299825702005313</v>
      </c>
      <c r="K801" s="17" t="str">
        <f aca="false">TEXT(A801,"dddd")</f>
        <v>Tuesday</v>
      </c>
      <c r="L801" s="17" t="str">
        <f aca="false">IF(AND(A801&gt;=DATE(2014,9,24),A801&lt;=DATE(2014,10,6)),"Promo 1",IF(AND(A801&gt;=DATE(2014,9,10),A801&lt;=DATE(2014,9,23)),"Baseline 1",IF(AND(A801&gt;=DATE(2015,9,23),A801&lt;=DATE(2015,10,6)),"Promo 2",IF(AND(A801&gt;=DATE(2015,9,9),A801&lt;=DATE(2015,9,22)),"Baseline 2",IF(AND(A801&gt;=DATE(2016,6,23),A801&lt;=DATE(2016,7,6)),"Promo 3",IF(AND(A801&gt;=DATE(2016,6,9),A801&lt;=DATE(2016,6,22)),"Baseline 3","Other"))))))</f>
        <v>Other</v>
      </c>
    </row>
    <row r="802" customFormat="false" ht="15" hidden="false" customHeight="true" outlineLevel="0" collapsed="false">
      <c r="A802" s="12" t="n">
        <v>42438</v>
      </c>
      <c r="B802" s="13" t="n">
        <v>38340.5996110802</v>
      </c>
      <c r="C802" s="13" t="n">
        <v>35918.3351533292</v>
      </c>
      <c r="D802" s="14" t="n">
        <v>913</v>
      </c>
      <c r="E802" s="15" t="n">
        <f aca="false">B802/D802</f>
        <v>41.9940850066596</v>
      </c>
      <c r="F802" s="15" t="n">
        <f aca="false">C802/D802</f>
        <v>39.3410023585205</v>
      </c>
      <c r="G802" s="13" t="n">
        <f aca="false">B802-C802</f>
        <v>2422.264457751</v>
      </c>
      <c r="H802" s="16" t="n">
        <f aca="false">G802/B802</f>
        <v>0.0631775319719043</v>
      </c>
      <c r="I802" s="15" t="n">
        <f aca="false">G802/D802</f>
        <v>2.6530826481391</v>
      </c>
      <c r="J802" s="16" t="n">
        <f aca="false">I802/E802</f>
        <v>0.0631775319719043</v>
      </c>
      <c r="K802" s="17" t="str">
        <f aca="false">TEXT(A802,"dddd")</f>
        <v>Wednesday</v>
      </c>
      <c r="L802" s="17" t="str">
        <f aca="false">IF(AND(A802&gt;=DATE(2014,9,24),A802&lt;=DATE(2014,10,6)),"Promo 1",IF(AND(A802&gt;=DATE(2014,9,10),A802&lt;=DATE(2014,9,23)),"Baseline 1",IF(AND(A802&gt;=DATE(2015,9,23),A802&lt;=DATE(2015,10,6)),"Promo 2",IF(AND(A802&gt;=DATE(2015,9,9),A802&lt;=DATE(2015,9,22)),"Baseline 2",IF(AND(A802&gt;=DATE(2016,6,23),A802&lt;=DATE(2016,7,6)),"Promo 3",IF(AND(A802&gt;=DATE(2016,6,9),A802&lt;=DATE(2016,6,22)),"Baseline 3","Other"))))))</f>
        <v>Other</v>
      </c>
    </row>
    <row r="803" customFormat="false" ht="15" hidden="false" customHeight="true" outlineLevel="0" collapsed="false">
      <c r="A803" s="12" t="n">
        <v>42439</v>
      </c>
      <c r="B803" s="13" t="n">
        <v>37453.0061825103</v>
      </c>
      <c r="C803" s="13" t="n">
        <v>35108.2001065368</v>
      </c>
      <c r="D803" s="14" t="n">
        <v>892</v>
      </c>
      <c r="E803" s="15" t="n">
        <f aca="false">B803/D803</f>
        <v>41.9876750925003</v>
      </c>
      <c r="F803" s="15" t="n">
        <f aca="false">C803/D803</f>
        <v>39.3589687293013</v>
      </c>
      <c r="G803" s="13" t="n">
        <f aca="false">B803-C803</f>
        <v>2344.80607597349</v>
      </c>
      <c r="H803" s="16" t="n">
        <f aca="false">G803/B803</f>
        <v>0.0626066186662598</v>
      </c>
      <c r="I803" s="15" t="n">
        <f aca="false">G803/D803</f>
        <v>2.62870636319899</v>
      </c>
      <c r="J803" s="16" t="n">
        <f aca="false">I803/E803</f>
        <v>0.0626066186662598</v>
      </c>
      <c r="K803" s="17" t="str">
        <f aca="false">TEXT(A803,"dddd")</f>
        <v>Thursday</v>
      </c>
      <c r="L803" s="17" t="str">
        <f aca="false">IF(AND(A803&gt;=DATE(2014,9,24),A803&lt;=DATE(2014,10,6)),"Promo 1",IF(AND(A803&gt;=DATE(2014,9,10),A803&lt;=DATE(2014,9,23)),"Baseline 1",IF(AND(A803&gt;=DATE(2015,9,23),A803&lt;=DATE(2015,10,6)),"Promo 2",IF(AND(A803&gt;=DATE(2015,9,9),A803&lt;=DATE(2015,9,22)),"Baseline 2",IF(AND(A803&gt;=DATE(2016,6,23),A803&lt;=DATE(2016,7,6)),"Promo 3",IF(AND(A803&gt;=DATE(2016,6,9),A803&lt;=DATE(2016,6,22)),"Baseline 3","Other"))))))</f>
        <v>Other</v>
      </c>
    </row>
    <row r="804" customFormat="false" ht="15" hidden="false" customHeight="true" outlineLevel="0" collapsed="false">
      <c r="A804" s="12" t="n">
        <v>42440</v>
      </c>
      <c r="B804" s="13" t="n">
        <v>77997.0450128694</v>
      </c>
      <c r="C804" s="13" t="n">
        <v>73051.6755425454</v>
      </c>
      <c r="D804" s="14" t="n">
        <v>1855</v>
      </c>
      <c r="E804" s="15" t="n">
        <f aca="false">B804/D804</f>
        <v>42.0469245352396</v>
      </c>
      <c r="F804" s="15" t="n">
        <f aca="false">C804/D804</f>
        <v>39.3809571657927</v>
      </c>
      <c r="G804" s="13" t="n">
        <f aca="false">B804-C804</f>
        <v>4945.369470324</v>
      </c>
      <c r="H804" s="16" t="n">
        <f aca="false">G804/B804</f>
        <v>0.0634045747439281</v>
      </c>
      <c r="I804" s="15" t="n">
        <f aca="false">G804/D804</f>
        <v>2.6659673694469</v>
      </c>
      <c r="J804" s="16" t="n">
        <f aca="false">I804/E804</f>
        <v>0.0634045747439281</v>
      </c>
      <c r="K804" s="17" t="str">
        <f aca="false">TEXT(A804,"dddd")</f>
        <v>Friday</v>
      </c>
      <c r="L804" s="17" t="str">
        <f aca="false">IF(AND(A804&gt;=DATE(2014,9,24),A804&lt;=DATE(2014,10,6)),"Promo 1",IF(AND(A804&gt;=DATE(2014,9,10),A804&lt;=DATE(2014,9,23)),"Baseline 1",IF(AND(A804&gt;=DATE(2015,9,23),A804&lt;=DATE(2015,10,6)),"Promo 2",IF(AND(A804&gt;=DATE(2015,9,9),A804&lt;=DATE(2015,9,22)),"Baseline 2",IF(AND(A804&gt;=DATE(2016,6,23),A804&lt;=DATE(2016,7,6)),"Promo 3",IF(AND(A804&gt;=DATE(2016,6,9),A804&lt;=DATE(2016,6,22)),"Baseline 3","Other"))))))</f>
        <v>Other</v>
      </c>
    </row>
    <row r="805" customFormat="false" ht="15" hidden="false" customHeight="true" outlineLevel="0" collapsed="false">
      <c r="A805" s="12" t="n">
        <v>42441</v>
      </c>
      <c r="B805" s="13" t="n">
        <v>79752.2826780293</v>
      </c>
      <c r="C805" s="13" t="n">
        <v>74962.816397036</v>
      </c>
      <c r="D805" s="14" t="n">
        <v>1897</v>
      </c>
      <c r="E805" s="15" t="n">
        <f aca="false">B805/D805</f>
        <v>42.0412665672268</v>
      </c>
      <c r="F805" s="15" t="n">
        <f aca="false">C805/D805</f>
        <v>39.5165083800928</v>
      </c>
      <c r="G805" s="13" t="n">
        <f aca="false">B805-C805</f>
        <v>4789.46628099329</v>
      </c>
      <c r="H805" s="16" t="n">
        <f aca="false">G805/B805</f>
        <v>0.0600542845943233</v>
      </c>
      <c r="I805" s="15" t="n">
        <f aca="false">G805/D805</f>
        <v>2.52475818713405</v>
      </c>
      <c r="J805" s="16" t="n">
        <f aca="false">I805/E805</f>
        <v>0.0600542845943233</v>
      </c>
      <c r="K805" s="17" t="str">
        <f aca="false">TEXT(A805,"dddd")</f>
        <v>Saturday</v>
      </c>
      <c r="L805" s="17" t="str">
        <f aca="false">IF(AND(A805&gt;=DATE(2014,9,24),A805&lt;=DATE(2014,10,6)),"Promo 1",IF(AND(A805&gt;=DATE(2014,9,10),A805&lt;=DATE(2014,9,23)),"Baseline 1",IF(AND(A805&gt;=DATE(2015,9,23),A805&lt;=DATE(2015,10,6)),"Promo 2",IF(AND(A805&gt;=DATE(2015,9,9),A805&lt;=DATE(2015,9,22)),"Baseline 2",IF(AND(A805&gt;=DATE(2016,6,23),A805&lt;=DATE(2016,7,6)),"Promo 3",IF(AND(A805&gt;=DATE(2016,6,9),A805&lt;=DATE(2016,6,22)),"Baseline 3","Other"))))))</f>
        <v>Other</v>
      </c>
    </row>
    <row r="806" customFormat="false" ht="15" hidden="false" customHeight="true" outlineLevel="0" collapsed="false">
      <c r="A806" s="12" t="n">
        <v>42442</v>
      </c>
      <c r="B806" s="13" t="n">
        <v>37155.5884845603</v>
      </c>
      <c r="C806" s="13" t="n">
        <v>34962.8305041842</v>
      </c>
      <c r="D806" s="14" t="n">
        <v>883</v>
      </c>
      <c r="E806" s="15" t="n">
        <f aca="false">B806/D806</f>
        <v>42.0788091557874</v>
      </c>
      <c r="F806" s="15" t="n">
        <f aca="false">C806/D806</f>
        <v>39.59550453475</v>
      </c>
      <c r="G806" s="13" t="n">
        <f aca="false">B806-C806</f>
        <v>2192.7579803761</v>
      </c>
      <c r="H806" s="16" t="n">
        <f aca="false">G806/B806</f>
        <v>0.0590155631981789</v>
      </c>
      <c r="I806" s="15" t="n">
        <f aca="false">G806/D806</f>
        <v>2.48330462103748</v>
      </c>
      <c r="J806" s="16" t="n">
        <f aca="false">I806/E806</f>
        <v>0.0590155631981789</v>
      </c>
      <c r="K806" s="17" t="str">
        <f aca="false">TEXT(A806,"dddd")</f>
        <v>Sunday</v>
      </c>
      <c r="L806" s="17" t="str">
        <f aca="false">IF(AND(A806&gt;=DATE(2014,9,24),A806&lt;=DATE(2014,10,6)),"Promo 1",IF(AND(A806&gt;=DATE(2014,9,10),A806&lt;=DATE(2014,9,23)),"Baseline 1",IF(AND(A806&gt;=DATE(2015,9,23),A806&lt;=DATE(2015,10,6)),"Promo 2",IF(AND(A806&gt;=DATE(2015,9,9),A806&lt;=DATE(2015,9,22)),"Baseline 2",IF(AND(A806&gt;=DATE(2016,6,23),A806&lt;=DATE(2016,7,6)),"Promo 3",IF(AND(A806&gt;=DATE(2016,6,9),A806&lt;=DATE(2016,6,22)),"Baseline 3","Other"))))))</f>
        <v>Other</v>
      </c>
    </row>
    <row r="807" customFormat="false" ht="15" hidden="false" customHeight="true" outlineLevel="0" collapsed="false">
      <c r="A807" s="12" t="n">
        <v>42443</v>
      </c>
      <c r="B807" s="13" t="n">
        <v>45046.5132144302</v>
      </c>
      <c r="C807" s="13" t="n">
        <v>42368.0453535041</v>
      </c>
      <c r="D807" s="14" t="n">
        <v>1071</v>
      </c>
      <c r="E807" s="15" t="n">
        <f aca="false">B807/D807</f>
        <v>42.0602364280394</v>
      </c>
      <c r="F807" s="15" t="n">
        <f aca="false">C807/D807</f>
        <v>39.5593327296957</v>
      </c>
      <c r="G807" s="13" t="n">
        <f aca="false">B807-C807</f>
        <v>2678.4678609261</v>
      </c>
      <c r="H807" s="16" t="n">
        <f aca="false">G807/B807</f>
        <v>0.0594600485097718</v>
      </c>
      <c r="I807" s="15" t="n">
        <f aca="false">G807/D807</f>
        <v>2.50090369834369</v>
      </c>
      <c r="J807" s="16" t="n">
        <f aca="false">I807/E807</f>
        <v>0.0594600485097718</v>
      </c>
      <c r="K807" s="17" t="str">
        <f aca="false">TEXT(A807,"dddd")</f>
        <v>Monday</v>
      </c>
      <c r="L807" s="17" t="str">
        <f aca="false">IF(AND(A807&gt;=DATE(2014,9,24),A807&lt;=DATE(2014,10,6)),"Promo 1",IF(AND(A807&gt;=DATE(2014,9,10),A807&lt;=DATE(2014,9,23)),"Baseline 1",IF(AND(A807&gt;=DATE(2015,9,23),A807&lt;=DATE(2015,10,6)),"Promo 2",IF(AND(A807&gt;=DATE(2015,9,9),A807&lt;=DATE(2015,9,22)),"Baseline 2",IF(AND(A807&gt;=DATE(2016,6,23),A807&lt;=DATE(2016,7,6)),"Promo 3",IF(AND(A807&gt;=DATE(2016,6,9),A807&lt;=DATE(2016,6,22)),"Baseline 3","Other"))))))</f>
        <v>Other</v>
      </c>
    </row>
    <row r="808" customFormat="false" ht="15" hidden="false" customHeight="true" outlineLevel="0" collapsed="false">
      <c r="A808" s="12" t="n">
        <v>42444</v>
      </c>
      <c r="B808" s="13" t="n">
        <v>55489.3327578002</v>
      </c>
      <c r="C808" s="13" t="n">
        <v>52263.0569882266</v>
      </c>
      <c r="D808" s="14" t="n">
        <v>1320</v>
      </c>
      <c r="E808" s="15" t="n">
        <f aca="false">B808/D808</f>
        <v>42.0373733013638</v>
      </c>
      <c r="F808" s="15" t="n">
        <f aca="false">C808/D808</f>
        <v>39.5932249910808</v>
      </c>
      <c r="G808" s="13" t="n">
        <f aca="false">B808-C808</f>
        <v>3226.2757695736</v>
      </c>
      <c r="H808" s="16" t="n">
        <f aca="false">G808/B808</f>
        <v>0.0581422700405436</v>
      </c>
      <c r="I808" s="15" t="n">
        <f aca="false">G808/D808</f>
        <v>2.44414831028303</v>
      </c>
      <c r="J808" s="16" t="n">
        <f aca="false">I808/E808</f>
        <v>0.0581422700405436</v>
      </c>
      <c r="K808" s="17" t="str">
        <f aca="false">TEXT(A808,"dddd")</f>
        <v>Tuesday</v>
      </c>
      <c r="L808" s="17" t="str">
        <f aca="false">IF(AND(A808&gt;=DATE(2014,9,24),A808&lt;=DATE(2014,10,6)),"Promo 1",IF(AND(A808&gt;=DATE(2014,9,10),A808&lt;=DATE(2014,9,23)),"Baseline 1",IF(AND(A808&gt;=DATE(2015,9,23),A808&lt;=DATE(2015,10,6)),"Promo 2",IF(AND(A808&gt;=DATE(2015,9,9),A808&lt;=DATE(2015,9,22)),"Baseline 2",IF(AND(A808&gt;=DATE(2016,6,23),A808&lt;=DATE(2016,7,6)),"Promo 3",IF(AND(A808&gt;=DATE(2016,6,9),A808&lt;=DATE(2016,6,22)),"Baseline 3","Other"))))))</f>
        <v>Other</v>
      </c>
    </row>
    <row r="809" customFormat="false" ht="15" hidden="false" customHeight="true" outlineLevel="0" collapsed="false">
      <c r="A809" s="12" t="n">
        <v>42445</v>
      </c>
      <c r="B809" s="13" t="n">
        <v>41893.3031580002</v>
      </c>
      <c r="C809" s="13" t="n">
        <v>39495.4559015033</v>
      </c>
      <c r="D809" s="14" t="n">
        <v>997</v>
      </c>
      <c r="E809" s="15" t="n">
        <f aca="false">B809/D809</f>
        <v>42.0193612417254</v>
      </c>
      <c r="F809" s="15" t="n">
        <f aca="false">C809/D809</f>
        <v>39.614298797897</v>
      </c>
      <c r="G809" s="13" t="n">
        <f aca="false">B809-C809</f>
        <v>2397.8472564969</v>
      </c>
      <c r="H809" s="16" t="n">
        <f aca="false">G809/B809</f>
        <v>0.0572370062931882</v>
      </c>
      <c r="I809" s="15" t="n">
        <f aca="false">G809/D809</f>
        <v>2.40506244382838</v>
      </c>
      <c r="J809" s="16" t="n">
        <f aca="false">I809/E809</f>
        <v>0.0572370062931882</v>
      </c>
      <c r="K809" s="17" t="str">
        <f aca="false">TEXT(A809,"dddd")</f>
        <v>Wednesday</v>
      </c>
      <c r="L809" s="17" t="str">
        <f aca="false">IF(AND(A809&gt;=DATE(2014,9,24),A809&lt;=DATE(2014,10,6)),"Promo 1",IF(AND(A809&gt;=DATE(2014,9,10),A809&lt;=DATE(2014,9,23)),"Baseline 1",IF(AND(A809&gt;=DATE(2015,9,23),A809&lt;=DATE(2015,10,6)),"Promo 2",IF(AND(A809&gt;=DATE(2015,9,9),A809&lt;=DATE(2015,9,22)),"Baseline 2",IF(AND(A809&gt;=DATE(2016,6,23),A809&lt;=DATE(2016,7,6)),"Promo 3",IF(AND(A809&gt;=DATE(2016,6,9),A809&lt;=DATE(2016,6,22)),"Baseline 3","Other"))))))</f>
        <v>Other</v>
      </c>
    </row>
    <row r="810" customFormat="false" ht="15" hidden="false" customHeight="true" outlineLevel="0" collapsed="false">
      <c r="A810" s="12" t="n">
        <v>42446</v>
      </c>
      <c r="B810" s="13" t="n">
        <v>34348.5041897101</v>
      </c>
      <c r="C810" s="13" t="n">
        <v>32292.8376020684</v>
      </c>
      <c r="D810" s="14" t="n">
        <v>817</v>
      </c>
      <c r="E810" s="15" t="n">
        <f aca="false">B810/D810</f>
        <v>42.0422327903428</v>
      </c>
      <c r="F810" s="15" t="n">
        <f aca="false">C810/D810</f>
        <v>39.5261170159956</v>
      </c>
      <c r="G810" s="13" t="n">
        <f aca="false">B810-C810</f>
        <v>2055.6665876417</v>
      </c>
      <c r="H810" s="16" t="n">
        <f aca="false">G810/B810</f>
        <v>0.0598473393859614</v>
      </c>
      <c r="I810" s="15" t="n">
        <f aca="false">G810/D810</f>
        <v>2.51611577434724</v>
      </c>
      <c r="J810" s="16" t="n">
        <f aca="false">I810/E810</f>
        <v>0.0598473393859614</v>
      </c>
      <c r="K810" s="17" t="str">
        <f aca="false">TEXT(A810,"dddd")</f>
        <v>Thursday</v>
      </c>
      <c r="L810" s="17" t="str">
        <f aca="false">IF(AND(A810&gt;=DATE(2014,9,24),A810&lt;=DATE(2014,10,6)),"Promo 1",IF(AND(A810&gt;=DATE(2014,9,10),A810&lt;=DATE(2014,9,23)),"Baseline 1",IF(AND(A810&gt;=DATE(2015,9,23),A810&lt;=DATE(2015,10,6)),"Promo 2",IF(AND(A810&gt;=DATE(2015,9,9),A810&lt;=DATE(2015,9,22)),"Baseline 2",IF(AND(A810&gt;=DATE(2016,6,23),A810&lt;=DATE(2016,7,6)),"Promo 3",IF(AND(A810&gt;=DATE(2016,6,9),A810&lt;=DATE(2016,6,22)),"Baseline 3","Other"))))))</f>
        <v>Other</v>
      </c>
    </row>
    <row r="811" customFormat="false" ht="15" hidden="false" customHeight="true" outlineLevel="0" collapsed="false">
      <c r="A811" s="12" t="n">
        <v>42447</v>
      </c>
      <c r="B811" s="13" t="n">
        <v>78276.8312169345</v>
      </c>
      <c r="C811" s="13" t="n">
        <v>73746.7587115386</v>
      </c>
      <c r="D811" s="14" t="n">
        <v>1866</v>
      </c>
      <c r="E811" s="15" t="n">
        <f aca="false">B811/D811</f>
        <v>41.9489985085394</v>
      </c>
      <c r="F811" s="15" t="n">
        <f aca="false">C811/D811</f>
        <v>39.5213069193669</v>
      </c>
      <c r="G811" s="13" t="n">
        <f aca="false">B811-C811</f>
        <v>4530.0725053959</v>
      </c>
      <c r="H811" s="16" t="n">
        <f aca="false">G811/B811</f>
        <v>0.0578724564468044</v>
      </c>
      <c r="I811" s="15" t="n">
        <f aca="false">G811/D811</f>
        <v>2.42769158917251</v>
      </c>
      <c r="J811" s="16" t="n">
        <f aca="false">I811/E811</f>
        <v>0.0578724564468044</v>
      </c>
      <c r="K811" s="17" t="str">
        <f aca="false">TEXT(A811,"dddd")</f>
        <v>Friday</v>
      </c>
      <c r="L811" s="17" t="str">
        <f aca="false">IF(AND(A811&gt;=DATE(2014,9,24),A811&lt;=DATE(2014,10,6)),"Promo 1",IF(AND(A811&gt;=DATE(2014,9,10),A811&lt;=DATE(2014,9,23)),"Baseline 1",IF(AND(A811&gt;=DATE(2015,9,23),A811&lt;=DATE(2015,10,6)),"Promo 2",IF(AND(A811&gt;=DATE(2015,9,9),A811&lt;=DATE(2015,9,22)),"Baseline 2",IF(AND(A811&gt;=DATE(2016,6,23),A811&lt;=DATE(2016,7,6)),"Promo 3",IF(AND(A811&gt;=DATE(2016,6,9),A811&lt;=DATE(2016,6,22)),"Baseline 3","Other"))))))</f>
        <v>Other</v>
      </c>
    </row>
    <row r="812" customFormat="false" ht="15" hidden="false" customHeight="true" outlineLevel="0" collapsed="false">
      <c r="A812" s="12" t="n">
        <v>42448</v>
      </c>
      <c r="B812" s="13" t="n">
        <v>92851.4026600788</v>
      </c>
      <c r="C812" s="13" t="n">
        <v>87451.5661757812</v>
      </c>
      <c r="D812" s="14" t="n">
        <v>2211</v>
      </c>
      <c r="E812" s="15" t="n">
        <f aca="false">B812/D812</f>
        <v>41.9952069923468</v>
      </c>
      <c r="F812" s="15" t="n">
        <f aca="false">C812/D812</f>
        <v>39.552947162271</v>
      </c>
      <c r="G812" s="13" t="n">
        <f aca="false">B812-C812</f>
        <v>5399.8364842976</v>
      </c>
      <c r="H812" s="16" t="n">
        <f aca="false">G812/B812</f>
        <v>0.0581556802546748</v>
      </c>
      <c r="I812" s="15" t="n">
        <f aca="false">G812/D812</f>
        <v>2.4422598300758</v>
      </c>
      <c r="J812" s="16" t="n">
        <f aca="false">I812/E812</f>
        <v>0.0581556802546748</v>
      </c>
      <c r="K812" s="17" t="str">
        <f aca="false">TEXT(A812,"dddd")</f>
        <v>Saturday</v>
      </c>
      <c r="L812" s="17" t="str">
        <f aca="false">IF(AND(A812&gt;=DATE(2014,9,24),A812&lt;=DATE(2014,10,6)),"Promo 1",IF(AND(A812&gt;=DATE(2014,9,10),A812&lt;=DATE(2014,9,23)),"Baseline 1",IF(AND(A812&gt;=DATE(2015,9,23),A812&lt;=DATE(2015,10,6)),"Promo 2",IF(AND(A812&gt;=DATE(2015,9,9),A812&lt;=DATE(2015,9,22)),"Baseline 2",IF(AND(A812&gt;=DATE(2016,6,23),A812&lt;=DATE(2016,7,6)),"Promo 3",IF(AND(A812&gt;=DATE(2016,6,9),A812&lt;=DATE(2016,6,22)),"Baseline 3","Other"))))))</f>
        <v>Other</v>
      </c>
    </row>
    <row r="813" customFormat="false" ht="15" hidden="false" customHeight="true" outlineLevel="0" collapsed="false">
      <c r="A813" s="12" t="n">
        <v>42449</v>
      </c>
      <c r="B813" s="13" t="n">
        <v>54845.7892982703</v>
      </c>
      <c r="C813" s="13" t="n">
        <v>51625.5117177853</v>
      </c>
      <c r="D813" s="14" t="n">
        <v>1304</v>
      </c>
      <c r="E813" s="15" t="n">
        <f aca="false">B813/D813</f>
        <v>42.0596543698392</v>
      </c>
      <c r="F813" s="15" t="n">
        <f aca="false">C813/D813</f>
        <v>39.5901163479949</v>
      </c>
      <c r="G813" s="13" t="n">
        <f aca="false">B813-C813</f>
        <v>3220.277580485</v>
      </c>
      <c r="H813" s="16" t="n">
        <f aca="false">G813/B813</f>
        <v>0.0587151287580532</v>
      </c>
      <c r="I813" s="15" t="n">
        <f aca="false">G813/D813</f>
        <v>2.46953802184432</v>
      </c>
      <c r="J813" s="16" t="n">
        <f aca="false">I813/E813</f>
        <v>0.0587151287580532</v>
      </c>
      <c r="K813" s="17" t="str">
        <f aca="false">TEXT(A813,"dddd")</f>
        <v>Sunday</v>
      </c>
      <c r="L813" s="17" t="str">
        <f aca="false">IF(AND(A813&gt;=DATE(2014,9,24),A813&lt;=DATE(2014,10,6)),"Promo 1",IF(AND(A813&gt;=DATE(2014,9,10),A813&lt;=DATE(2014,9,23)),"Baseline 1",IF(AND(A813&gt;=DATE(2015,9,23),A813&lt;=DATE(2015,10,6)),"Promo 2",IF(AND(A813&gt;=DATE(2015,9,9),A813&lt;=DATE(2015,9,22)),"Baseline 2",IF(AND(A813&gt;=DATE(2016,6,23),A813&lt;=DATE(2016,7,6)),"Promo 3",IF(AND(A813&gt;=DATE(2016,6,9),A813&lt;=DATE(2016,6,22)),"Baseline 3","Other"))))))</f>
        <v>Other</v>
      </c>
    </row>
    <row r="814" customFormat="false" ht="15" hidden="false" customHeight="true" outlineLevel="0" collapsed="false">
      <c r="A814" s="12" t="n">
        <v>42450</v>
      </c>
      <c r="B814" s="13" t="n">
        <v>48037.7999023803</v>
      </c>
      <c r="C814" s="13" t="n">
        <v>45187.6415757207</v>
      </c>
      <c r="D814" s="14" t="n">
        <v>1143</v>
      </c>
      <c r="E814" s="15" t="n">
        <f aca="false">B814/D814</f>
        <v>42.0278214369031</v>
      </c>
      <c r="F814" s="15" t="n">
        <f aca="false">C814/D814</f>
        <v>39.5342445981808</v>
      </c>
      <c r="G814" s="13" t="n">
        <f aca="false">B814-C814</f>
        <v>2850.1583266596</v>
      </c>
      <c r="H814" s="16" t="n">
        <f aca="false">G814/B814</f>
        <v>0.0593315749774455</v>
      </c>
      <c r="I814" s="15" t="n">
        <f aca="false">G814/D814</f>
        <v>2.49357683872231</v>
      </c>
      <c r="J814" s="16" t="n">
        <f aca="false">I814/E814</f>
        <v>0.0593315749774455</v>
      </c>
      <c r="K814" s="17" t="str">
        <f aca="false">TEXT(A814,"dddd")</f>
        <v>Monday</v>
      </c>
      <c r="L814" s="17" t="str">
        <f aca="false">IF(AND(A814&gt;=DATE(2014,9,24),A814&lt;=DATE(2014,10,6)),"Promo 1",IF(AND(A814&gt;=DATE(2014,9,10),A814&lt;=DATE(2014,9,23)),"Baseline 1",IF(AND(A814&gt;=DATE(2015,9,23),A814&lt;=DATE(2015,10,6)),"Promo 2",IF(AND(A814&gt;=DATE(2015,9,9),A814&lt;=DATE(2015,9,22)),"Baseline 2",IF(AND(A814&gt;=DATE(2016,6,23),A814&lt;=DATE(2016,7,6)),"Promo 3",IF(AND(A814&gt;=DATE(2016,6,9),A814&lt;=DATE(2016,6,22)),"Baseline 3","Other"))))))</f>
        <v>Other</v>
      </c>
    </row>
    <row r="815" customFormat="false" ht="15" hidden="false" customHeight="true" outlineLevel="0" collapsed="false">
      <c r="A815" s="12" t="n">
        <v>42451</v>
      </c>
      <c r="B815" s="13" t="n">
        <v>65905.72326216</v>
      </c>
      <c r="C815" s="13" t="n">
        <v>62023.8812977001</v>
      </c>
      <c r="D815" s="14" t="n">
        <v>1573</v>
      </c>
      <c r="E815" s="15" t="n">
        <f aca="false">B815/D815</f>
        <v>41.898107604679</v>
      </c>
      <c r="F815" s="15" t="n">
        <f aca="false">C815/D815</f>
        <v>39.4303123316593</v>
      </c>
      <c r="G815" s="13" t="n">
        <f aca="false">B815-C815</f>
        <v>3881.8419644599</v>
      </c>
      <c r="H815" s="16" t="n">
        <f aca="false">G815/B815</f>
        <v>0.0588999220753362</v>
      </c>
      <c r="I815" s="15" t="n">
        <f aca="false">G815/D815</f>
        <v>2.46779527301964</v>
      </c>
      <c r="J815" s="16" t="n">
        <f aca="false">I815/E815</f>
        <v>0.0588999220753362</v>
      </c>
      <c r="K815" s="17" t="str">
        <f aca="false">TEXT(A815,"dddd")</f>
        <v>Tuesday</v>
      </c>
      <c r="L815" s="17" t="str">
        <f aca="false">IF(AND(A815&gt;=DATE(2014,9,24),A815&lt;=DATE(2014,10,6)),"Promo 1",IF(AND(A815&gt;=DATE(2014,9,10),A815&lt;=DATE(2014,9,23)),"Baseline 1",IF(AND(A815&gt;=DATE(2015,9,23),A815&lt;=DATE(2015,10,6)),"Promo 2",IF(AND(A815&gt;=DATE(2015,9,9),A815&lt;=DATE(2015,9,22)),"Baseline 2",IF(AND(A815&gt;=DATE(2016,6,23),A815&lt;=DATE(2016,7,6)),"Promo 3",IF(AND(A815&gt;=DATE(2016,6,9),A815&lt;=DATE(2016,6,22)),"Baseline 3","Other"))))))</f>
        <v>Other</v>
      </c>
    </row>
    <row r="816" customFormat="false" ht="15" hidden="false" customHeight="true" outlineLevel="0" collapsed="false">
      <c r="A816" s="12" t="n">
        <v>42452</v>
      </c>
      <c r="B816" s="13" t="n">
        <v>84870.0513008698</v>
      </c>
      <c r="C816" s="13" t="n">
        <v>81472.8271759893</v>
      </c>
      <c r="D816" s="14" t="n">
        <v>2065</v>
      </c>
      <c r="E816" s="15" t="n">
        <f aca="false">B816/D816</f>
        <v>41.0992984507844</v>
      </c>
      <c r="F816" s="15" t="n">
        <f aca="false">C816/D816</f>
        <v>39.4541535961207</v>
      </c>
      <c r="G816" s="13" t="n">
        <f aca="false">B816-C816</f>
        <v>3397.22412488051</v>
      </c>
      <c r="H816" s="16" t="n">
        <f aca="false">G816/B816</f>
        <v>0.0400285386047091</v>
      </c>
      <c r="I816" s="15" t="n">
        <f aca="false">G816/D816</f>
        <v>1.64514485466368</v>
      </c>
      <c r="J816" s="16" t="n">
        <f aca="false">I816/E816</f>
        <v>0.0400285386047091</v>
      </c>
      <c r="K816" s="17" t="str">
        <f aca="false">TEXT(A816,"dddd")</f>
        <v>Wednesday</v>
      </c>
      <c r="L816" s="17" t="str">
        <f aca="false">IF(AND(A816&gt;=DATE(2014,9,24),A816&lt;=DATE(2014,10,6)),"Promo 1",IF(AND(A816&gt;=DATE(2014,9,10),A816&lt;=DATE(2014,9,23)),"Baseline 1",IF(AND(A816&gt;=DATE(2015,9,23),A816&lt;=DATE(2015,10,6)),"Promo 2",IF(AND(A816&gt;=DATE(2015,9,9),A816&lt;=DATE(2015,9,22)),"Baseline 2",IF(AND(A816&gt;=DATE(2016,6,23),A816&lt;=DATE(2016,7,6)),"Promo 3",IF(AND(A816&gt;=DATE(2016,6,9),A816&lt;=DATE(2016,6,22)),"Baseline 3","Other"))))))</f>
        <v>Other</v>
      </c>
    </row>
    <row r="817" customFormat="false" ht="15" hidden="false" customHeight="true" outlineLevel="0" collapsed="false">
      <c r="A817" s="12" t="n">
        <v>42453</v>
      </c>
      <c r="B817" s="13" t="n">
        <v>262459.505681304</v>
      </c>
      <c r="C817" s="13" t="n">
        <v>259298.456618437</v>
      </c>
      <c r="D817" s="14" t="n">
        <v>6588</v>
      </c>
      <c r="E817" s="15" t="n">
        <f aca="false">B817/D817</f>
        <v>39.8390263632823</v>
      </c>
      <c r="F817" s="15" t="n">
        <f aca="false">C817/D817</f>
        <v>39.3592071369819</v>
      </c>
      <c r="G817" s="13" t="n">
        <f aca="false">B817-C817</f>
        <v>3161.04906286704</v>
      </c>
      <c r="H817" s="16" t="n">
        <f aca="false">G817/B817</f>
        <v>0.0120439496167664</v>
      </c>
      <c r="I817" s="15" t="n">
        <f aca="false">G817/D817</f>
        <v>0.4798192263004</v>
      </c>
      <c r="J817" s="16" t="n">
        <f aca="false">I817/E817</f>
        <v>0.0120439496167664</v>
      </c>
      <c r="K817" s="17" t="str">
        <f aca="false">TEXT(A817,"dddd")</f>
        <v>Thursday</v>
      </c>
      <c r="L817" s="17" t="str">
        <f aca="false">IF(AND(A817&gt;=DATE(2014,9,24),A817&lt;=DATE(2014,10,6)),"Promo 1",IF(AND(A817&gt;=DATE(2014,9,10),A817&lt;=DATE(2014,9,23)),"Baseline 1",IF(AND(A817&gt;=DATE(2015,9,23),A817&lt;=DATE(2015,10,6)),"Promo 2",IF(AND(A817&gt;=DATE(2015,9,9),A817&lt;=DATE(2015,9,22)),"Baseline 2",IF(AND(A817&gt;=DATE(2016,6,23),A817&lt;=DATE(2016,7,6)),"Promo 3",IF(AND(A817&gt;=DATE(2016,6,9),A817&lt;=DATE(2016,6,22)),"Baseline 3","Other"))))))</f>
        <v>Other</v>
      </c>
    </row>
    <row r="818" customFormat="false" ht="15" hidden="false" customHeight="true" outlineLevel="0" collapsed="false">
      <c r="A818" s="12" t="n">
        <v>42454</v>
      </c>
      <c r="B818" s="13" t="n">
        <v>228124.398029274</v>
      </c>
      <c r="C818" s="13" t="n">
        <v>222208.350380804</v>
      </c>
      <c r="D818" s="14" t="n">
        <v>5652</v>
      </c>
      <c r="E818" s="15" t="n">
        <f aca="false">B818/D818</f>
        <v>40.3617123194045</v>
      </c>
      <c r="F818" s="15" t="n">
        <f aca="false">C818/D818</f>
        <v>39.3149947595195</v>
      </c>
      <c r="G818" s="13" t="n">
        <f aca="false">B818-C818</f>
        <v>5916.04764846998</v>
      </c>
      <c r="H818" s="16" t="n">
        <f aca="false">G818/B818</f>
        <v>0.0259334279874387</v>
      </c>
      <c r="I818" s="15" t="n">
        <f aca="false">G818/D818</f>
        <v>1.04671755988499</v>
      </c>
      <c r="J818" s="16" t="n">
        <f aca="false">I818/E818</f>
        <v>0.0259334279874387</v>
      </c>
      <c r="K818" s="17" t="str">
        <f aca="false">TEXT(A818,"dddd")</f>
        <v>Friday</v>
      </c>
      <c r="L818" s="17" t="str">
        <f aca="false">IF(AND(A818&gt;=DATE(2014,9,24),A818&lt;=DATE(2014,10,6)),"Promo 1",IF(AND(A818&gt;=DATE(2014,9,10),A818&lt;=DATE(2014,9,23)),"Baseline 1",IF(AND(A818&gt;=DATE(2015,9,23),A818&lt;=DATE(2015,10,6)),"Promo 2",IF(AND(A818&gt;=DATE(2015,9,9),A818&lt;=DATE(2015,9,22)),"Baseline 2",IF(AND(A818&gt;=DATE(2016,6,23),A818&lt;=DATE(2016,7,6)),"Promo 3",IF(AND(A818&gt;=DATE(2016,6,9),A818&lt;=DATE(2016,6,22)),"Baseline 3","Other"))))))</f>
        <v>Other</v>
      </c>
    </row>
    <row r="819" customFormat="false" ht="15" hidden="false" customHeight="true" outlineLevel="0" collapsed="false">
      <c r="A819" s="12" t="n">
        <v>42455</v>
      </c>
      <c r="B819" s="13" t="n">
        <v>162929.492144126</v>
      </c>
      <c r="C819" s="13" t="n">
        <v>161434.815098505</v>
      </c>
      <c r="D819" s="14" t="n">
        <v>4103</v>
      </c>
      <c r="E819" s="15" t="n">
        <f aca="false">B819/D819</f>
        <v>39.7098445391484</v>
      </c>
      <c r="F819" s="15" t="n">
        <f aca="false">C819/D819</f>
        <v>39.3455557149659</v>
      </c>
      <c r="G819" s="13" t="n">
        <f aca="false">B819-C819</f>
        <v>1494.67704562101</v>
      </c>
      <c r="H819" s="16" t="n">
        <f aca="false">G819/B819</f>
        <v>0.0091737660625544</v>
      </c>
      <c r="I819" s="15" t="n">
        <f aca="false">G819/D819</f>
        <v>0.364288824182551</v>
      </c>
      <c r="J819" s="16" t="n">
        <f aca="false">I819/E819</f>
        <v>0.0091737660625544</v>
      </c>
      <c r="K819" s="17" t="str">
        <f aca="false">TEXT(A819,"dddd")</f>
        <v>Saturday</v>
      </c>
      <c r="L819" s="17" t="str">
        <f aca="false">IF(AND(A819&gt;=DATE(2014,9,24),A819&lt;=DATE(2014,10,6)),"Promo 1",IF(AND(A819&gt;=DATE(2014,9,10),A819&lt;=DATE(2014,9,23)),"Baseline 1",IF(AND(A819&gt;=DATE(2015,9,23),A819&lt;=DATE(2015,10,6)),"Promo 2",IF(AND(A819&gt;=DATE(2015,9,9),A819&lt;=DATE(2015,9,22)),"Baseline 2",IF(AND(A819&gt;=DATE(2016,6,23),A819&lt;=DATE(2016,7,6)),"Promo 3",IF(AND(A819&gt;=DATE(2016,6,9),A819&lt;=DATE(2016,6,22)),"Baseline 3","Other"))))))</f>
        <v>Other</v>
      </c>
    </row>
    <row r="820" customFormat="false" ht="15" hidden="false" customHeight="true" outlineLevel="0" collapsed="false">
      <c r="A820" s="12" t="n">
        <v>42456</v>
      </c>
      <c r="B820" s="13" t="n">
        <v>58359.8321848201</v>
      </c>
      <c r="C820" s="13" t="n">
        <v>57681.5698849339</v>
      </c>
      <c r="D820" s="14" t="n">
        <v>1466</v>
      </c>
      <c r="E820" s="15" t="n">
        <f aca="false">B820/D820</f>
        <v>39.8088896212961</v>
      </c>
      <c r="F820" s="15" t="n">
        <f aca="false">C820/D820</f>
        <v>39.3462277523424</v>
      </c>
      <c r="G820" s="13" t="n">
        <f aca="false">B820-C820</f>
        <v>678.262299886199</v>
      </c>
      <c r="H820" s="16" t="n">
        <f aca="false">G820/B820</f>
        <v>0.0116220741988806</v>
      </c>
      <c r="I820" s="15" t="n">
        <f aca="false">G820/D820</f>
        <v>0.462661868953751</v>
      </c>
      <c r="J820" s="16" t="n">
        <f aca="false">I820/E820</f>
        <v>0.0116220741988806</v>
      </c>
      <c r="K820" s="17" t="str">
        <f aca="false">TEXT(A820,"dddd")</f>
        <v>Sunday</v>
      </c>
      <c r="L820" s="17" t="str">
        <f aca="false">IF(AND(A820&gt;=DATE(2014,9,24),A820&lt;=DATE(2014,10,6)),"Promo 1",IF(AND(A820&gt;=DATE(2014,9,10),A820&lt;=DATE(2014,9,23)),"Baseline 1",IF(AND(A820&gt;=DATE(2015,9,23),A820&lt;=DATE(2015,10,6)),"Promo 2",IF(AND(A820&gt;=DATE(2015,9,9),A820&lt;=DATE(2015,9,22)),"Baseline 2",IF(AND(A820&gt;=DATE(2016,6,23),A820&lt;=DATE(2016,7,6)),"Promo 3",IF(AND(A820&gt;=DATE(2016,6,9),A820&lt;=DATE(2016,6,22)),"Baseline 3","Other"))))))</f>
        <v>Other</v>
      </c>
    </row>
    <row r="821" customFormat="false" ht="15" hidden="false" customHeight="true" outlineLevel="0" collapsed="false">
      <c r="A821" s="12" t="n">
        <v>42457</v>
      </c>
      <c r="B821" s="13" t="n">
        <v>85605.3319205992</v>
      </c>
      <c r="C821" s="13" t="n">
        <v>85022.3809201806</v>
      </c>
      <c r="D821" s="14" t="n">
        <v>2162</v>
      </c>
      <c r="E821" s="15" t="n">
        <f aca="false">B821/D821</f>
        <v>39.5954356709525</v>
      </c>
      <c r="F821" s="15" t="n">
        <f aca="false">C821/D821</f>
        <v>39.3258006106293</v>
      </c>
      <c r="G821" s="13" t="n">
        <f aca="false">B821-C821</f>
        <v>582.951000418601</v>
      </c>
      <c r="H821" s="16" t="n">
        <f aca="false">G821/B821</f>
        <v>0.00680975106736694</v>
      </c>
      <c r="I821" s="15" t="n">
        <f aca="false">G821/D821</f>
        <v>0.269635060323127</v>
      </c>
      <c r="J821" s="16" t="n">
        <f aca="false">I821/E821</f>
        <v>0.00680975106736694</v>
      </c>
      <c r="K821" s="17" t="str">
        <f aca="false">TEXT(A821,"dddd")</f>
        <v>Monday</v>
      </c>
      <c r="L821" s="17" t="str">
        <f aca="false">IF(AND(A821&gt;=DATE(2014,9,24),A821&lt;=DATE(2014,10,6)),"Promo 1",IF(AND(A821&gt;=DATE(2014,9,10),A821&lt;=DATE(2014,9,23)),"Baseline 1",IF(AND(A821&gt;=DATE(2015,9,23),A821&lt;=DATE(2015,10,6)),"Promo 2",IF(AND(A821&gt;=DATE(2015,9,9),A821&lt;=DATE(2015,9,22)),"Baseline 2",IF(AND(A821&gt;=DATE(2016,6,23),A821&lt;=DATE(2016,7,6)),"Promo 3",IF(AND(A821&gt;=DATE(2016,6,9),A821&lt;=DATE(2016,6,22)),"Baseline 3","Other"))))))</f>
        <v>Other</v>
      </c>
    </row>
    <row r="822" customFormat="false" ht="15" hidden="false" customHeight="true" outlineLevel="0" collapsed="false">
      <c r="A822" s="12" t="n">
        <v>42458</v>
      </c>
      <c r="B822" s="13" t="n">
        <v>84836.4143421293</v>
      </c>
      <c r="C822" s="13" t="n">
        <v>84595.2179348059</v>
      </c>
      <c r="D822" s="14" t="n">
        <v>2155</v>
      </c>
      <c r="E822" s="15" t="n">
        <f aca="false">B822/D822</f>
        <v>39.3672456343988</v>
      </c>
      <c r="F822" s="15" t="n">
        <f aca="false">C822/D822</f>
        <v>39.2553215474737</v>
      </c>
      <c r="G822" s="13" t="n">
        <f aca="false">B822-C822</f>
        <v>241.196407323398</v>
      </c>
      <c r="H822" s="16" t="n">
        <f aca="false">G822/B822</f>
        <v>0.00284307639819262</v>
      </c>
      <c r="I822" s="15" t="n">
        <f aca="false">G822/D822</f>
        <v>0.11192408692501</v>
      </c>
      <c r="J822" s="16" t="n">
        <f aca="false">I822/E822</f>
        <v>0.00284307639819262</v>
      </c>
      <c r="K822" s="17" t="str">
        <f aca="false">TEXT(A822,"dddd")</f>
        <v>Tuesday</v>
      </c>
      <c r="L822" s="17" t="str">
        <f aca="false">IF(AND(A822&gt;=DATE(2014,9,24),A822&lt;=DATE(2014,10,6)),"Promo 1",IF(AND(A822&gt;=DATE(2014,9,10),A822&lt;=DATE(2014,9,23)),"Baseline 1",IF(AND(A822&gt;=DATE(2015,9,23),A822&lt;=DATE(2015,10,6)),"Promo 2",IF(AND(A822&gt;=DATE(2015,9,9),A822&lt;=DATE(2015,9,22)),"Baseline 2",IF(AND(A822&gt;=DATE(2016,6,23),A822&lt;=DATE(2016,7,6)),"Promo 3",IF(AND(A822&gt;=DATE(2016,6,9),A822&lt;=DATE(2016,6,22)),"Baseline 3","Other"))))))</f>
        <v>Other</v>
      </c>
    </row>
    <row r="823" customFormat="false" ht="15" hidden="false" customHeight="true" outlineLevel="0" collapsed="false">
      <c r="A823" s="12" t="n">
        <v>42459</v>
      </c>
      <c r="B823" s="13" t="n">
        <v>64308.9142165205</v>
      </c>
      <c r="C823" s="13" t="n">
        <v>68427.5946660658</v>
      </c>
      <c r="D823" s="14" t="n">
        <v>1746</v>
      </c>
      <c r="E823" s="15" t="n">
        <f aca="false">B823/D823</f>
        <v>36.8321387265295</v>
      </c>
      <c r="F823" s="15" t="n">
        <f aca="false">C823/D823</f>
        <v>39.1910622371511</v>
      </c>
      <c r="G823" s="13" t="n">
        <f aca="false">B823-C823</f>
        <v>-4118.6804495453</v>
      </c>
      <c r="H823" s="16" t="n">
        <f aca="false">G823/B823</f>
        <v>-0.0640452493985233</v>
      </c>
      <c r="I823" s="15" t="n">
        <f aca="false">G823/D823</f>
        <v>-2.35892351062159</v>
      </c>
      <c r="J823" s="16" t="n">
        <f aca="false">I823/E823</f>
        <v>-0.0640452493985233</v>
      </c>
      <c r="K823" s="17" t="str">
        <f aca="false">TEXT(A823,"dddd")</f>
        <v>Wednesday</v>
      </c>
      <c r="L823" s="17" t="str">
        <f aca="false">IF(AND(A823&gt;=DATE(2014,9,24),A823&lt;=DATE(2014,10,6)),"Promo 1",IF(AND(A823&gt;=DATE(2014,9,10),A823&lt;=DATE(2014,9,23)),"Baseline 1",IF(AND(A823&gt;=DATE(2015,9,23),A823&lt;=DATE(2015,10,6)),"Promo 2",IF(AND(A823&gt;=DATE(2015,9,9),A823&lt;=DATE(2015,9,22)),"Baseline 2",IF(AND(A823&gt;=DATE(2016,6,23),A823&lt;=DATE(2016,7,6)),"Promo 3",IF(AND(A823&gt;=DATE(2016,6,9),A823&lt;=DATE(2016,6,22)),"Baseline 3","Other"))))))</f>
        <v>Other</v>
      </c>
    </row>
    <row r="824" customFormat="false" ht="15" hidden="false" customHeight="true" outlineLevel="0" collapsed="false">
      <c r="A824" s="12" t="n">
        <v>42460</v>
      </c>
      <c r="B824" s="13" t="n">
        <v>131168.485522948</v>
      </c>
      <c r="C824" s="13" t="n">
        <v>138589.100064263</v>
      </c>
      <c r="D824" s="14" t="n">
        <v>3554</v>
      </c>
      <c r="E824" s="15" t="n">
        <f aca="false">B824/D824</f>
        <v>36.9072834898559</v>
      </c>
      <c r="F824" s="15" t="n">
        <f aca="false">C824/D824</f>
        <v>38.9952448126795</v>
      </c>
      <c r="G824" s="13" t="n">
        <f aca="false">B824-C824</f>
        <v>-7420.61454131501</v>
      </c>
      <c r="H824" s="16" t="n">
        <f aca="false">G824/B824</f>
        <v>-0.0565731510257986</v>
      </c>
      <c r="I824" s="15" t="n">
        <f aca="false">G824/D824</f>
        <v>-2.08796132282358</v>
      </c>
      <c r="J824" s="16" t="n">
        <f aca="false">I824/E824</f>
        <v>-0.0565731510257986</v>
      </c>
      <c r="K824" s="17" t="str">
        <f aca="false">TEXT(A824,"dddd")</f>
        <v>Thursday</v>
      </c>
      <c r="L824" s="17" t="str">
        <f aca="false">IF(AND(A824&gt;=DATE(2014,9,24),A824&lt;=DATE(2014,10,6)),"Promo 1",IF(AND(A824&gt;=DATE(2014,9,10),A824&lt;=DATE(2014,9,23)),"Baseline 1",IF(AND(A824&gt;=DATE(2015,9,23),A824&lt;=DATE(2015,10,6)),"Promo 2",IF(AND(A824&gt;=DATE(2015,9,9),A824&lt;=DATE(2015,9,22)),"Baseline 2",IF(AND(A824&gt;=DATE(2016,6,23),A824&lt;=DATE(2016,7,6)),"Promo 3",IF(AND(A824&gt;=DATE(2016,6,9),A824&lt;=DATE(2016,6,22)),"Baseline 3","Other"))))))</f>
        <v>Other</v>
      </c>
    </row>
    <row r="825" customFormat="false" ht="15" hidden="false" customHeight="true" outlineLevel="0" collapsed="false">
      <c r="A825" s="12" t="n">
        <v>42461</v>
      </c>
      <c r="B825" s="13" t="n">
        <v>232410.197977816</v>
      </c>
      <c r="C825" s="13" t="n">
        <v>245358.629980534</v>
      </c>
      <c r="D825" s="14" t="n">
        <v>6282</v>
      </c>
      <c r="E825" s="15" t="n">
        <f aca="false">B825/D825</f>
        <v>36.9962110757428</v>
      </c>
      <c r="F825" s="15" t="n">
        <f aca="false">C825/D825</f>
        <v>39.0574068736921</v>
      </c>
      <c r="G825" s="13" t="n">
        <f aca="false">B825-C825</f>
        <v>-12948.432002718</v>
      </c>
      <c r="H825" s="16" t="n">
        <f aca="false">G825/B825</f>
        <v>-0.0557136998091364</v>
      </c>
      <c r="I825" s="15" t="n">
        <f aca="false">G825/D825</f>
        <v>-2.06119579794938</v>
      </c>
      <c r="J825" s="16" t="n">
        <f aca="false">I825/E825</f>
        <v>-0.0557136998091364</v>
      </c>
      <c r="K825" s="17" t="str">
        <f aca="false">TEXT(A825,"dddd")</f>
        <v>Friday</v>
      </c>
      <c r="L825" s="17" t="str">
        <f aca="false">IF(AND(A825&gt;=DATE(2014,9,24),A825&lt;=DATE(2014,10,6)),"Promo 1",IF(AND(A825&gt;=DATE(2014,9,10),A825&lt;=DATE(2014,9,23)),"Baseline 1",IF(AND(A825&gt;=DATE(2015,9,23),A825&lt;=DATE(2015,10,6)),"Promo 2",IF(AND(A825&gt;=DATE(2015,9,9),A825&lt;=DATE(2015,9,22)),"Baseline 2",IF(AND(A825&gt;=DATE(2016,6,23),A825&lt;=DATE(2016,7,6)),"Promo 3",IF(AND(A825&gt;=DATE(2016,6,9),A825&lt;=DATE(2016,6,22)),"Baseline 3","Other"))))))</f>
        <v>Other</v>
      </c>
    </row>
    <row r="826" customFormat="false" ht="15" hidden="false" customHeight="true" outlineLevel="0" collapsed="false">
      <c r="A826" s="12" t="n">
        <v>42462</v>
      </c>
      <c r="B826" s="13" t="n">
        <v>195831.097457118</v>
      </c>
      <c r="C826" s="13" t="n">
        <v>205442.828096812</v>
      </c>
      <c r="D826" s="14" t="n">
        <v>5259</v>
      </c>
      <c r="E826" s="15" t="n">
        <f aca="false">B826/D826</f>
        <v>37.2373260043959</v>
      </c>
      <c r="F826" s="15" t="n">
        <f aca="false">C826/D826</f>
        <v>39.0649986873573</v>
      </c>
      <c r="G826" s="13" t="n">
        <f aca="false">B826-C826</f>
        <v>-9611.730639694</v>
      </c>
      <c r="H826" s="16" t="n">
        <f aca="false">G826/B826</f>
        <v>-0.0490817381126035</v>
      </c>
      <c r="I826" s="15" t="n">
        <f aca="false">G826/D826</f>
        <v>-1.8276726829614</v>
      </c>
      <c r="J826" s="16" t="n">
        <f aca="false">I826/E826</f>
        <v>-0.0490817381126035</v>
      </c>
      <c r="K826" s="17" t="str">
        <f aca="false">TEXT(A826,"dddd")</f>
        <v>Saturday</v>
      </c>
      <c r="L826" s="17" t="str">
        <f aca="false">IF(AND(A826&gt;=DATE(2014,9,24),A826&lt;=DATE(2014,10,6)),"Promo 1",IF(AND(A826&gt;=DATE(2014,9,10),A826&lt;=DATE(2014,9,23)),"Baseline 1",IF(AND(A826&gt;=DATE(2015,9,23),A826&lt;=DATE(2015,10,6)),"Promo 2",IF(AND(A826&gt;=DATE(2015,9,9),A826&lt;=DATE(2015,9,22)),"Baseline 2",IF(AND(A826&gt;=DATE(2016,6,23),A826&lt;=DATE(2016,7,6)),"Promo 3",IF(AND(A826&gt;=DATE(2016,6,9),A826&lt;=DATE(2016,6,22)),"Baseline 3","Other"))))))</f>
        <v>Other</v>
      </c>
    </row>
    <row r="827" customFormat="false" ht="15" hidden="false" customHeight="true" outlineLevel="0" collapsed="false">
      <c r="A827" s="12" t="n">
        <v>42463</v>
      </c>
      <c r="B827" s="13" t="n">
        <v>90716.5478891399</v>
      </c>
      <c r="C827" s="13" t="n">
        <v>95543.1336461968</v>
      </c>
      <c r="D827" s="14" t="n">
        <v>2446</v>
      </c>
      <c r="E827" s="15" t="n">
        <f aca="false">B827/D827</f>
        <v>37.0877137731561</v>
      </c>
      <c r="F827" s="15" t="n">
        <f aca="false">C827/D827</f>
        <v>39.0609704195408</v>
      </c>
      <c r="G827" s="13" t="n">
        <f aca="false">B827-C827</f>
        <v>-4826.58575705691</v>
      </c>
      <c r="H827" s="16" t="n">
        <f aca="false">G827/B827</f>
        <v>-0.0532051303688852</v>
      </c>
      <c r="I827" s="15" t="n">
        <f aca="false">G827/D827</f>
        <v>-1.97325664638467</v>
      </c>
      <c r="J827" s="16" t="n">
        <f aca="false">I827/E827</f>
        <v>-0.0532051303688852</v>
      </c>
      <c r="K827" s="17" t="str">
        <f aca="false">TEXT(A827,"dddd")</f>
        <v>Sunday</v>
      </c>
      <c r="L827" s="17" t="str">
        <f aca="false">IF(AND(A827&gt;=DATE(2014,9,24),A827&lt;=DATE(2014,10,6)),"Promo 1",IF(AND(A827&gt;=DATE(2014,9,10),A827&lt;=DATE(2014,9,23)),"Baseline 1",IF(AND(A827&gt;=DATE(2015,9,23),A827&lt;=DATE(2015,10,6)),"Promo 2",IF(AND(A827&gt;=DATE(2015,9,9),A827&lt;=DATE(2015,9,22)),"Baseline 2",IF(AND(A827&gt;=DATE(2016,6,23),A827&lt;=DATE(2016,7,6)),"Promo 3",IF(AND(A827&gt;=DATE(2016,6,9),A827&lt;=DATE(2016,6,22)),"Baseline 3","Other"))))))</f>
        <v>Other</v>
      </c>
    </row>
    <row r="828" customFormat="false" ht="15" hidden="false" customHeight="true" outlineLevel="0" collapsed="false">
      <c r="A828" s="12" t="n">
        <v>42464</v>
      </c>
      <c r="B828" s="13" t="n">
        <v>131638.019607176</v>
      </c>
      <c r="C828" s="13" t="n">
        <v>130700.188942007</v>
      </c>
      <c r="D828" s="14" t="n">
        <v>3345</v>
      </c>
      <c r="E828" s="15" t="n">
        <f aca="false">B828/D828</f>
        <v>39.3536680439988</v>
      </c>
      <c r="F828" s="15" t="n">
        <f aca="false">C828/D828</f>
        <v>39.0733001321396</v>
      </c>
      <c r="G828" s="13" t="n">
        <f aca="false">B828-C828</f>
        <v>937.830665168993</v>
      </c>
      <c r="H828" s="16" t="n">
        <f aca="false">G828/B828</f>
        <v>0.00712431460126485</v>
      </c>
      <c r="I828" s="15" t="n">
        <f aca="false">G828/D828</f>
        <v>0.280367911859191</v>
      </c>
      <c r="J828" s="16" t="n">
        <f aca="false">I828/E828</f>
        <v>0.00712431460126485</v>
      </c>
      <c r="K828" s="17" t="str">
        <f aca="false">TEXT(A828,"dddd")</f>
        <v>Monday</v>
      </c>
      <c r="L828" s="17" t="str">
        <f aca="false">IF(AND(A828&gt;=DATE(2014,9,24),A828&lt;=DATE(2014,10,6)),"Promo 1",IF(AND(A828&gt;=DATE(2014,9,10),A828&lt;=DATE(2014,9,23)),"Baseline 1",IF(AND(A828&gt;=DATE(2015,9,23),A828&lt;=DATE(2015,10,6)),"Promo 2",IF(AND(A828&gt;=DATE(2015,9,9),A828&lt;=DATE(2015,9,22)),"Baseline 2",IF(AND(A828&gt;=DATE(2016,6,23),A828&lt;=DATE(2016,7,6)),"Promo 3",IF(AND(A828&gt;=DATE(2016,6,9),A828&lt;=DATE(2016,6,22)),"Baseline 3","Other"))))))</f>
        <v>Other</v>
      </c>
    </row>
    <row r="829" customFormat="false" ht="15" hidden="false" customHeight="true" outlineLevel="0" collapsed="false">
      <c r="A829" s="12" t="n">
        <v>42465</v>
      </c>
      <c r="B829" s="13" t="n">
        <v>81910.8726189894</v>
      </c>
      <c r="C829" s="13" t="n">
        <v>79969.510545293</v>
      </c>
      <c r="D829" s="14" t="n">
        <v>2048</v>
      </c>
      <c r="E829" s="15" t="n">
        <f aca="false">B829/D829</f>
        <v>39.9955432709909</v>
      </c>
      <c r="F829" s="15" t="n">
        <f aca="false">C829/D829</f>
        <v>39.0476125709439</v>
      </c>
      <c r="G829" s="13" t="n">
        <f aca="false">B829-C829</f>
        <v>1941.36207369639</v>
      </c>
      <c r="H829" s="16" t="n">
        <f aca="false">G829/B829</f>
        <v>0.0237009082143062</v>
      </c>
      <c r="I829" s="15" t="n">
        <f aca="false">G829/D829</f>
        <v>0.947930700047067</v>
      </c>
      <c r="J829" s="16" t="n">
        <f aca="false">I829/E829</f>
        <v>0.0237009082143062</v>
      </c>
      <c r="K829" s="17" t="str">
        <f aca="false">TEXT(A829,"dddd")</f>
        <v>Tuesday</v>
      </c>
      <c r="L829" s="17" t="str">
        <f aca="false">IF(AND(A829&gt;=DATE(2014,9,24),A829&lt;=DATE(2014,10,6)),"Promo 1",IF(AND(A829&gt;=DATE(2014,9,10),A829&lt;=DATE(2014,9,23)),"Baseline 1",IF(AND(A829&gt;=DATE(2015,9,23),A829&lt;=DATE(2015,10,6)),"Promo 2",IF(AND(A829&gt;=DATE(2015,9,9),A829&lt;=DATE(2015,9,22)),"Baseline 2",IF(AND(A829&gt;=DATE(2016,6,23),A829&lt;=DATE(2016,7,6)),"Promo 3",IF(AND(A829&gt;=DATE(2016,6,9),A829&lt;=DATE(2016,6,22)),"Baseline 3","Other"))))))</f>
        <v>Other</v>
      </c>
    </row>
    <row r="830" customFormat="false" ht="15" hidden="false" customHeight="true" outlineLevel="0" collapsed="false">
      <c r="A830" s="12" t="n">
        <v>42466</v>
      </c>
      <c r="B830" s="13" t="n">
        <v>54821.9085137099</v>
      </c>
      <c r="C830" s="13" t="n">
        <v>50800.0085147593</v>
      </c>
      <c r="D830" s="14" t="n">
        <v>1303</v>
      </c>
      <c r="E830" s="15" t="n">
        <f aca="false">B830/D830</f>
        <v>42.0736059199616</v>
      </c>
      <c r="F830" s="15" t="n">
        <f aca="false">C830/D830</f>
        <v>38.9869597196925</v>
      </c>
      <c r="G830" s="13" t="n">
        <f aca="false">B830-C830</f>
        <v>4021.8999989506</v>
      </c>
      <c r="H830" s="16" t="n">
        <f aca="false">G830/B830</f>
        <v>0.0733630059220723</v>
      </c>
      <c r="I830" s="15" t="n">
        <f aca="false">G830/D830</f>
        <v>3.08664620026908</v>
      </c>
      <c r="J830" s="16" t="n">
        <f aca="false">I830/E830</f>
        <v>0.0733630059220723</v>
      </c>
      <c r="K830" s="17" t="str">
        <f aca="false">TEXT(A830,"dddd")</f>
        <v>Wednesday</v>
      </c>
      <c r="L830" s="17" t="str">
        <f aca="false">IF(AND(A830&gt;=DATE(2014,9,24),A830&lt;=DATE(2014,10,6)),"Promo 1",IF(AND(A830&gt;=DATE(2014,9,10),A830&lt;=DATE(2014,9,23)),"Baseline 1",IF(AND(A830&gt;=DATE(2015,9,23),A830&lt;=DATE(2015,10,6)),"Promo 2",IF(AND(A830&gt;=DATE(2015,9,9),A830&lt;=DATE(2015,9,22)),"Baseline 2",IF(AND(A830&gt;=DATE(2016,6,23),A830&lt;=DATE(2016,7,6)),"Promo 3",IF(AND(A830&gt;=DATE(2016,6,9),A830&lt;=DATE(2016,6,22)),"Baseline 3","Other"))))))</f>
        <v>Other</v>
      </c>
    </row>
    <row r="831" customFormat="false" ht="15" hidden="false" customHeight="true" outlineLevel="0" collapsed="false">
      <c r="A831" s="12" t="n">
        <v>42467</v>
      </c>
      <c r="B831" s="13" t="n">
        <v>155615.419414466</v>
      </c>
      <c r="C831" s="13" t="n">
        <v>171592.125879157</v>
      </c>
      <c r="D831" s="14" t="n">
        <v>4413</v>
      </c>
      <c r="E831" s="15" t="n">
        <f aca="false">B831/D831</f>
        <v>35.2629547732758</v>
      </c>
      <c r="F831" s="15" t="n">
        <f aca="false">C831/D831</f>
        <v>38.8833278674727</v>
      </c>
      <c r="G831" s="13" t="n">
        <f aca="false">B831-C831</f>
        <v>-15976.706464691</v>
      </c>
      <c r="H831" s="16" t="n">
        <f aca="false">G831/B831</f>
        <v>-0.102667888084655</v>
      </c>
      <c r="I831" s="15" t="n">
        <f aca="false">G831/D831</f>
        <v>-3.62037309419692</v>
      </c>
      <c r="J831" s="16" t="n">
        <f aca="false">I831/E831</f>
        <v>-0.102667888084655</v>
      </c>
      <c r="K831" s="17" t="str">
        <f aca="false">TEXT(A831,"dddd")</f>
        <v>Thursday</v>
      </c>
      <c r="L831" s="17" t="str">
        <f aca="false">IF(AND(A831&gt;=DATE(2014,9,24),A831&lt;=DATE(2014,10,6)),"Promo 1",IF(AND(A831&gt;=DATE(2014,9,10),A831&lt;=DATE(2014,9,23)),"Baseline 1",IF(AND(A831&gt;=DATE(2015,9,23),A831&lt;=DATE(2015,10,6)),"Promo 2",IF(AND(A831&gt;=DATE(2015,9,9),A831&lt;=DATE(2015,9,22)),"Baseline 2",IF(AND(A831&gt;=DATE(2016,6,23),A831&lt;=DATE(2016,7,6)),"Promo 3",IF(AND(A831&gt;=DATE(2016,6,9),A831&lt;=DATE(2016,6,22)),"Baseline 3","Other"))))))</f>
        <v>Other</v>
      </c>
    </row>
    <row r="832" customFormat="false" ht="15" hidden="false" customHeight="true" outlineLevel="0" collapsed="false">
      <c r="A832" s="12" t="n">
        <v>42468</v>
      </c>
      <c r="B832" s="13" t="n">
        <v>264086.89378035</v>
      </c>
      <c r="C832" s="13" t="n">
        <v>291378.579802775</v>
      </c>
      <c r="D832" s="14" t="n">
        <v>7494</v>
      </c>
      <c r="E832" s="15" t="n">
        <f aca="false">B832/D832</f>
        <v>35.2397776595076</v>
      </c>
      <c r="F832" s="15" t="n">
        <f aca="false">C832/D832</f>
        <v>38.8815825730951</v>
      </c>
      <c r="G832" s="13" t="n">
        <f aca="false">B832-C832</f>
        <v>-27291.686022425</v>
      </c>
      <c r="H832" s="16" t="n">
        <f aca="false">G832/B832</f>
        <v>-0.103343583741511</v>
      </c>
      <c r="I832" s="15" t="n">
        <f aca="false">G832/D832</f>
        <v>-3.64180491358754</v>
      </c>
      <c r="J832" s="16" t="n">
        <f aca="false">I832/E832</f>
        <v>-0.103343583741511</v>
      </c>
      <c r="K832" s="17" t="str">
        <f aca="false">TEXT(A832,"dddd")</f>
        <v>Friday</v>
      </c>
      <c r="L832" s="17" t="str">
        <f aca="false">IF(AND(A832&gt;=DATE(2014,9,24),A832&lt;=DATE(2014,10,6)),"Promo 1",IF(AND(A832&gt;=DATE(2014,9,10),A832&lt;=DATE(2014,9,23)),"Baseline 1",IF(AND(A832&gt;=DATE(2015,9,23),A832&lt;=DATE(2015,10,6)),"Promo 2",IF(AND(A832&gt;=DATE(2015,9,9),A832&lt;=DATE(2015,9,22)),"Baseline 2",IF(AND(A832&gt;=DATE(2016,6,23),A832&lt;=DATE(2016,7,6)),"Promo 3",IF(AND(A832&gt;=DATE(2016,6,9),A832&lt;=DATE(2016,6,22)),"Baseline 3","Other"))))))</f>
        <v>Other</v>
      </c>
    </row>
    <row r="833" customFormat="false" ht="15" hidden="false" customHeight="true" outlineLevel="0" collapsed="false">
      <c r="A833" s="12" t="n">
        <v>42469</v>
      </c>
      <c r="B833" s="13" t="n">
        <v>272761.297542689</v>
      </c>
      <c r="C833" s="13" t="n">
        <v>298164.416097075</v>
      </c>
      <c r="D833" s="14" t="n">
        <v>7738</v>
      </c>
      <c r="E833" s="15" t="n">
        <f aca="false">B833/D833</f>
        <v>35.2495861388846</v>
      </c>
      <c r="F833" s="15" t="n">
        <f aca="false">C833/D833</f>
        <v>38.5324910955124</v>
      </c>
      <c r="G833" s="13" t="n">
        <f aca="false">B833-C833</f>
        <v>-25403.118554386</v>
      </c>
      <c r="H833" s="16" t="n">
        <f aca="false">G833/B833</f>
        <v>-0.0931331489593394</v>
      </c>
      <c r="I833" s="15" t="n">
        <f aca="false">G833/D833</f>
        <v>-3.28290495662781</v>
      </c>
      <c r="J833" s="16" t="n">
        <f aca="false">I833/E833</f>
        <v>-0.0931331489593394</v>
      </c>
      <c r="K833" s="17" t="str">
        <f aca="false">TEXT(A833,"dddd")</f>
        <v>Saturday</v>
      </c>
      <c r="L833" s="17" t="str">
        <f aca="false">IF(AND(A833&gt;=DATE(2014,9,24),A833&lt;=DATE(2014,10,6)),"Promo 1",IF(AND(A833&gt;=DATE(2014,9,10),A833&lt;=DATE(2014,9,23)),"Baseline 1",IF(AND(A833&gt;=DATE(2015,9,23),A833&lt;=DATE(2015,10,6)),"Promo 2",IF(AND(A833&gt;=DATE(2015,9,9),A833&lt;=DATE(2015,9,22)),"Baseline 2",IF(AND(A833&gt;=DATE(2016,6,23),A833&lt;=DATE(2016,7,6)),"Promo 3",IF(AND(A833&gt;=DATE(2016,6,9),A833&lt;=DATE(2016,6,22)),"Baseline 3","Other"))))))</f>
        <v>Other</v>
      </c>
    </row>
    <row r="834" customFormat="false" ht="15" hidden="false" customHeight="true" outlineLevel="0" collapsed="false">
      <c r="A834" s="12" t="n">
        <v>42470</v>
      </c>
      <c r="B834" s="13" t="n">
        <v>104689.427918459</v>
      </c>
      <c r="C834" s="13" t="n">
        <v>113609.304253074</v>
      </c>
      <c r="D834" s="14" t="n">
        <v>2958</v>
      </c>
      <c r="E834" s="15" t="n">
        <f aca="false">B834/D834</f>
        <v>35.3919634612776</v>
      </c>
      <c r="F834" s="15" t="n">
        <f aca="false">C834/D834</f>
        <v>38.4074727021886</v>
      </c>
      <c r="G834" s="13" t="n">
        <f aca="false">B834-C834</f>
        <v>-8919.87633461501</v>
      </c>
      <c r="H834" s="16" t="n">
        <f aca="false">G834/B834</f>
        <v>-0.0852032197707926</v>
      </c>
      <c r="I834" s="15" t="n">
        <f aca="false">G834/D834</f>
        <v>-3.01550924091109</v>
      </c>
      <c r="J834" s="16" t="n">
        <f aca="false">I834/E834</f>
        <v>-0.0852032197707926</v>
      </c>
      <c r="K834" s="17" t="str">
        <f aca="false">TEXT(A834,"dddd")</f>
        <v>Sunday</v>
      </c>
      <c r="L834" s="17" t="str">
        <f aca="false">IF(AND(A834&gt;=DATE(2014,9,24),A834&lt;=DATE(2014,10,6)),"Promo 1",IF(AND(A834&gt;=DATE(2014,9,10),A834&lt;=DATE(2014,9,23)),"Baseline 1",IF(AND(A834&gt;=DATE(2015,9,23),A834&lt;=DATE(2015,10,6)),"Promo 2",IF(AND(A834&gt;=DATE(2015,9,9),A834&lt;=DATE(2015,9,22)),"Baseline 2",IF(AND(A834&gt;=DATE(2016,6,23),A834&lt;=DATE(2016,7,6)),"Promo 3",IF(AND(A834&gt;=DATE(2016,6,9),A834&lt;=DATE(2016,6,22)),"Baseline 3","Other"))))))</f>
        <v>Other</v>
      </c>
    </row>
    <row r="835" customFormat="false" ht="15" hidden="false" customHeight="true" outlineLevel="0" collapsed="false">
      <c r="A835" s="12" t="n">
        <v>42471</v>
      </c>
      <c r="B835" s="13" t="n">
        <v>131170.596933776</v>
      </c>
      <c r="C835" s="13" t="n">
        <v>142022.812593446</v>
      </c>
      <c r="D835" s="14" t="n">
        <v>3713</v>
      </c>
      <c r="E835" s="15" t="n">
        <f aca="false">B835/D835</f>
        <v>35.3273894246636</v>
      </c>
      <c r="F835" s="15" t="n">
        <f aca="false">C835/D835</f>
        <v>38.2501515199154</v>
      </c>
      <c r="G835" s="13" t="n">
        <f aca="false">B835-C835</f>
        <v>-10852.21565967</v>
      </c>
      <c r="H835" s="16" t="n">
        <f aca="false">G835/B835</f>
        <v>-0.0827335997041239</v>
      </c>
      <c r="I835" s="15" t="n">
        <f aca="false">G835/D835</f>
        <v>-2.92276209525182</v>
      </c>
      <c r="J835" s="16" t="n">
        <f aca="false">I835/E835</f>
        <v>-0.0827335997041239</v>
      </c>
      <c r="K835" s="17" t="str">
        <f aca="false">TEXT(A835,"dddd")</f>
        <v>Monday</v>
      </c>
      <c r="L835" s="17" t="str">
        <f aca="false">IF(AND(A835&gt;=DATE(2014,9,24),A835&lt;=DATE(2014,10,6)),"Promo 1",IF(AND(A835&gt;=DATE(2014,9,10),A835&lt;=DATE(2014,9,23)),"Baseline 1",IF(AND(A835&gt;=DATE(2015,9,23),A835&lt;=DATE(2015,10,6)),"Promo 2",IF(AND(A835&gt;=DATE(2015,9,9),A835&lt;=DATE(2015,9,22)),"Baseline 2",IF(AND(A835&gt;=DATE(2016,6,23),A835&lt;=DATE(2016,7,6)),"Promo 3",IF(AND(A835&gt;=DATE(2016,6,9),A835&lt;=DATE(2016,6,22)),"Baseline 3","Other"))))))</f>
        <v>Other</v>
      </c>
    </row>
    <row r="836" customFormat="false" ht="15" hidden="false" customHeight="true" outlineLevel="0" collapsed="false">
      <c r="A836" s="12" t="n">
        <v>42472</v>
      </c>
      <c r="B836" s="13" t="n">
        <v>123179.489400389</v>
      </c>
      <c r="C836" s="13" t="n">
        <v>132714.9602041</v>
      </c>
      <c r="D836" s="14" t="n">
        <v>3504</v>
      </c>
      <c r="E836" s="15" t="n">
        <f aca="false">B836/D836</f>
        <v>35.153963869974</v>
      </c>
      <c r="F836" s="15" t="n">
        <f aca="false">C836/D836</f>
        <v>37.8752740308505</v>
      </c>
      <c r="G836" s="13" t="n">
        <f aca="false">B836-C836</f>
        <v>-9535.47080371101</v>
      </c>
      <c r="H836" s="16" t="n">
        <f aca="false">G836/B836</f>
        <v>-0.0774111895586482</v>
      </c>
      <c r="I836" s="15" t="n">
        <f aca="false">G836/D836</f>
        <v>-2.72131016087643</v>
      </c>
      <c r="J836" s="16" t="n">
        <f aca="false">I836/E836</f>
        <v>-0.0774111895586482</v>
      </c>
      <c r="K836" s="17" t="str">
        <f aca="false">TEXT(A836,"dddd")</f>
        <v>Tuesday</v>
      </c>
      <c r="L836" s="17" t="str">
        <f aca="false">IF(AND(A836&gt;=DATE(2014,9,24),A836&lt;=DATE(2014,10,6)),"Promo 1",IF(AND(A836&gt;=DATE(2014,9,10),A836&lt;=DATE(2014,9,23)),"Baseline 1",IF(AND(A836&gt;=DATE(2015,9,23),A836&lt;=DATE(2015,10,6)),"Promo 2",IF(AND(A836&gt;=DATE(2015,9,9),A836&lt;=DATE(2015,9,22)),"Baseline 2",IF(AND(A836&gt;=DATE(2016,6,23),A836&lt;=DATE(2016,7,6)),"Promo 3",IF(AND(A836&gt;=DATE(2016,6,9),A836&lt;=DATE(2016,6,22)),"Baseline 3","Other"))))))</f>
        <v>Other</v>
      </c>
    </row>
    <row r="837" customFormat="false" ht="15" hidden="false" customHeight="true" outlineLevel="0" collapsed="false">
      <c r="A837" s="12" t="n">
        <v>42473</v>
      </c>
      <c r="B837" s="13" t="n">
        <v>124431.046371689</v>
      </c>
      <c r="C837" s="13" t="n">
        <v>132889.056896937</v>
      </c>
      <c r="D837" s="14" t="n">
        <v>3534</v>
      </c>
      <c r="E837" s="15" t="n">
        <f aca="false">B837/D837</f>
        <v>35.209690540942</v>
      </c>
      <c r="F837" s="15" t="n">
        <f aca="false">C837/D837</f>
        <v>37.603015533938</v>
      </c>
      <c r="G837" s="13" t="n">
        <f aca="false">B837-C837</f>
        <v>-8458.010525248</v>
      </c>
      <c r="H837" s="16" t="n">
        <f aca="false">G837/B837</f>
        <v>-0.0679734742403677</v>
      </c>
      <c r="I837" s="15" t="n">
        <f aca="false">G837/D837</f>
        <v>-2.39332499299604</v>
      </c>
      <c r="J837" s="16" t="n">
        <f aca="false">I837/E837</f>
        <v>-0.0679734742403677</v>
      </c>
      <c r="K837" s="17" t="str">
        <f aca="false">TEXT(A837,"dddd")</f>
        <v>Wednesday</v>
      </c>
      <c r="L837" s="17" t="str">
        <f aca="false">IF(AND(A837&gt;=DATE(2014,9,24),A837&lt;=DATE(2014,10,6)),"Promo 1",IF(AND(A837&gt;=DATE(2014,9,10),A837&lt;=DATE(2014,9,23)),"Baseline 1",IF(AND(A837&gt;=DATE(2015,9,23),A837&lt;=DATE(2015,10,6)),"Promo 2",IF(AND(A837&gt;=DATE(2015,9,9),A837&lt;=DATE(2015,9,22)),"Baseline 2",IF(AND(A837&gt;=DATE(2016,6,23),A837&lt;=DATE(2016,7,6)),"Promo 3",IF(AND(A837&gt;=DATE(2016,6,9),A837&lt;=DATE(2016,6,22)),"Baseline 3","Other"))))))</f>
        <v>Other</v>
      </c>
    </row>
    <row r="838" customFormat="false" ht="15" hidden="false" customHeight="true" outlineLevel="0" collapsed="false">
      <c r="A838" s="12" t="n">
        <v>42474</v>
      </c>
      <c r="B838" s="13" t="n">
        <v>162166.835990875</v>
      </c>
      <c r="C838" s="13" t="n">
        <v>172225.652705639</v>
      </c>
      <c r="D838" s="14" t="n">
        <v>4601</v>
      </c>
      <c r="E838" s="15" t="n">
        <f aca="false">B838/D838</f>
        <v>35.2459978245762</v>
      </c>
      <c r="F838" s="15" t="n">
        <f aca="false">C838/D838</f>
        <v>37.4322218443032</v>
      </c>
      <c r="G838" s="13" t="n">
        <f aca="false">B838-C838</f>
        <v>-10058.816714764</v>
      </c>
      <c r="H838" s="16" t="n">
        <f aca="false">G838/B838</f>
        <v>-0.062027581985567</v>
      </c>
      <c r="I838" s="15" t="n">
        <f aca="false">G838/D838</f>
        <v>-2.18622401972701</v>
      </c>
      <c r="J838" s="16" t="n">
        <f aca="false">I838/E838</f>
        <v>-0.062027581985567</v>
      </c>
      <c r="K838" s="17" t="str">
        <f aca="false">TEXT(A838,"dddd")</f>
        <v>Thursday</v>
      </c>
      <c r="L838" s="17" t="str">
        <f aca="false">IF(AND(A838&gt;=DATE(2014,9,24),A838&lt;=DATE(2014,10,6)),"Promo 1",IF(AND(A838&gt;=DATE(2014,9,10),A838&lt;=DATE(2014,9,23)),"Baseline 1",IF(AND(A838&gt;=DATE(2015,9,23),A838&lt;=DATE(2015,10,6)),"Promo 2",IF(AND(A838&gt;=DATE(2015,9,9),A838&lt;=DATE(2015,9,22)),"Baseline 2",IF(AND(A838&gt;=DATE(2016,6,23),A838&lt;=DATE(2016,7,6)),"Promo 3",IF(AND(A838&gt;=DATE(2016,6,9),A838&lt;=DATE(2016,6,22)),"Baseline 3","Other"))))))</f>
        <v>Other</v>
      </c>
    </row>
    <row r="839" customFormat="false" ht="15" hidden="false" customHeight="true" outlineLevel="0" collapsed="false">
      <c r="A839" s="12" t="n">
        <v>42475</v>
      </c>
      <c r="B839" s="13" t="n">
        <v>354042.023239829</v>
      </c>
      <c r="C839" s="13" t="n">
        <v>373200.305984063</v>
      </c>
      <c r="D839" s="14" t="n">
        <v>10045</v>
      </c>
      <c r="E839" s="15" t="n">
        <f aca="false">B839/D839</f>
        <v>35.245597136867</v>
      </c>
      <c r="F839" s="15" t="n">
        <f aca="false">C839/D839</f>
        <v>37.1528428057803</v>
      </c>
      <c r="G839" s="13" t="n">
        <f aca="false">B839-C839</f>
        <v>-19158.282744234</v>
      </c>
      <c r="H839" s="16" t="n">
        <f aca="false">G839/B839</f>
        <v>-0.0541130190391443</v>
      </c>
      <c r="I839" s="15" t="n">
        <f aca="false">G839/D839</f>
        <v>-1.90724566891329</v>
      </c>
      <c r="J839" s="16" t="n">
        <f aca="false">I839/E839</f>
        <v>-0.0541130190391443</v>
      </c>
      <c r="K839" s="17" t="str">
        <f aca="false">TEXT(A839,"dddd")</f>
        <v>Friday</v>
      </c>
      <c r="L839" s="17" t="str">
        <f aca="false">IF(AND(A839&gt;=DATE(2014,9,24),A839&lt;=DATE(2014,10,6)),"Promo 1",IF(AND(A839&gt;=DATE(2014,9,10),A839&lt;=DATE(2014,9,23)),"Baseline 1",IF(AND(A839&gt;=DATE(2015,9,23),A839&lt;=DATE(2015,10,6)),"Promo 2",IF(AND(A839&gt;=DATE(2015,9,9),A839&lt;=DATE(2015,9,22)),"Baseline 2",IF(AND(A839&gt;=DATE(2016,6,23),A839&lt;=DATE(2016,7,6)),"Promo 3",IF(AND(A839&gt;=DATE(2016,6,9),A839&lt;=DATE(2016,6,22)),"Baseline 3","Other"))))))</f>
        <v>Other</v>
      </c>
    </row>
    <row r="840" customFormat="false" ht="15" hidden="false" customHeight="true" outlineLevel="0" collapsed="false">
      <c r="A840" s="12" t="n">
        <v>42476</v>
      </c>
      <c r="B840" s="13" t="n">
        <v>327352.261395959</v>
      </c>
      <c r="C840" s="13" t="n">
        <v>345338.628069206</v>
      </c>
      <c r="D840" s="14" t="n">
        <v>9301</v>
      </c>
      <c r="E840" s="15" t="n">
        <f aca="false">B840/D840</f>
        <v>35.1953834422061</v>
      </c>
      <c r="F840" s="15" t="n">
        <f aca="false">C840/D840</f>
        <v>37.1291934275031</v>
      </c>
      <c r="G840" s="13" t="n">
        <f aca="false">B840-C840</f>
        <v>-17986.366673247</v>
      </c>
      <c r="H840" s="16" t="n">
        <f aca="false">G840/B840</f>
        <v>-0.0549449898300567</v>
      </c>
      <c r="I840" s="15" t="n">
        <f aca="false">G840/D840</f>
        <v>-1.93380998529696</v>
      </c>
      <c r="J840" s="16" t="n">
        <f aca="false">I840/E840</f>
        <v>-0.0549449898300567</v>
      </c>
      <c r="K840" s="17" t="str">
        <f aca="false">TEXT(A840,"dddd")</f>
        <v>Saturday</v>
      </c>
      <c r="L840" s="17" t="str">
        <f aca="false">IF(AND(A840&gt;=DATE(2014,9,24),A840&lt;=DATE(2014,10,6)),"Promo 1",IF(AND(A840&gt;=DATE(2014,9,10),A840&lt;=DATE(2014,9,23)),"Baseline 1",IF(AND(A840&gt;=DATE(2015,9,23),A840&lt;=DATE(2015,10,6)),"Promo 2",IF(AND(A840&gt;=DATE(2015,9,9),A840&lt;=DATE(2015,9,22)),"Baseline 2",IF(AND(A840&gt;=DATE(2016,6,23),A840&lt;=DATE(2016,7,6)),"Promo 3",IF(AND(A840&gt;=DATE(2016,6,9),A840&lt;=DATE(2016,6,22)),"Baseline 3","Other"))))))</f>
        <v>Other</v>
      </c>
    </row>
    <row r="841" customFormat="false" ht="15" hidden="false" customHeight="true" outlineLevel="0" collapsed="false">
      <c r="A841" s="12" t="n">
        <v>42477</v>
      </c>
      <c r="B841" s="13" t="n">
        <v>164809.303048254</v>
      </c>
      <c r="C841" s="13" t="n">
        <v>175167.42875983</v>
      </c>
      <c r="D841" s="14" t="n">
        <v>4678</v>
      </c>
      <c r="E841" s="15" t="n">
        <f aca="false">B841/D841</f>
        <v>35.2307189072796</v>
      </c>
      <c r="F841" s="15" t="n">
        <f aca="false">C841/D841</f>
        <v>37.4449398802544</v>
      </c>
      <c r="G841" s="13" t="n">
        <f aca="false">B841-C841</f>
        <v>-10358.125711576</v>
      </c>
      <c r="H841" s="16" t="n">
        <f aca="false">G841/B841</f>
        <v>-0.0628491566919818</v>
      </c>
      <c r="I841" s="15" t="n">
        <f aca="false">G841/D841</f>
        <v>-2.21422097297478</v>
      </c>
      <c r="J841" s="16" t="n">
        <f aca="false">I841/E841</f>
        <v>-0.0628491566919818</v>
      </c>
      <c r="K841" s="17" t="str">
        <f aca="false">TEXT(A841,"dddd")</f>
        <v>Sunday</v>
      </c>
      <c r="L841" s="17" t="str">
        <f aca="false">IF(AND(A841&gt;=DATE(2014,9,24),A841&lt;=DATE(2014,10,6)),"Promo 1",IF(AND(A841&gt;=DATE(2014,9,10),A841&lt;=DATE(2014,9,23)),"Baseline 1",IF(AND(A841&gt;=DATE(2015,9,23),A841&lt;=DATE(2015,10,6)),"Promo 2",IF(AND(A841&gt;=DATE(2015,9,9),A841&lt;=DATE(2015,9,22)),"Baseline 2",IF(AND(A841&gt;=DATE(2016,6,23),A841&lt;=DATE(2016,7,6)),"Promo 3",IF(AND(A841&gt;=DATE(2016,6,9),A841&lt;=DATE(2016,6,22)),"Baseline 3","Other"))))))</f>
        <v>Other</v>
      </c>
    </row>
    <row r="842" customFormat="false" ht="15" hidden="false" customHeight="true" outlineLevel="0" collapsed="false">
      <c r="A842" s="12" t="n">
        <v>42478</v>
      </c>
      <c r="B842" s="13" t="n">
        <v>151157.794308715</v>
      </c>
      <c r="C842" s="13" t="n">
        <v>159828.765034305</v>
      </c>
      <c r="D842" s="14" t="n">
        <v>4294</v>
      </c>
      <c r="E842" s="15" t="n">
        <f aca="false">B842/D842</f>
        <v>35.2020946224301</v>
      </c>
      <c r="F842" s="15" t="n">
        <f aca="false">C842/D842</f>
        <v>37.2214171016081</v>
      </c>
      <c r="G842" s="13" t="n">
        <f aca="false">B842-C842</f>
        <v>-8670.97072558999</v>
      </c>
      <c r="H842" s="16" t="n">
        <f aca="false">G842/B842</f>
        <v>-0.0573637023829611</v>
      </c>
      <c r="I842" s="15" t="n">
        <f aca="false">G842/D842</f>
        <v>-2.01932247917792</v>
      </c>
      <c r="J842" s="16" t="n">
        <f aca="false">I842/E842</f>
        <v>-0.0573637023829611</v>
      </c>
      <c r="K842" s="17" t="str">
        <f aca="false">TEXT(A842,"dddd")</f>
        <v>Monday</v>
      </c>
      <c r="L842" s="17" t="str">
        <f aca="false">IF(AND(A842&gt;=DATE(2014,9,24),A842&lt;=DATE(2014,10,6)),"Promo 1",IF(AND(A842&gt;=DATE(2014,9,10),A842&lt;=DATE(2014,9,23)),"Baseline 1",IF(AND(A842&gt;=DATE(2015,9,23),A842&lt;=DATE(2015,10,6)),"Promo 2",IF(AND(A842&gt;=DATE(2015,9,9),A842&lt;=DATE(2015,9,22)),"Baseline 2",IF(AND(A842&gt;=DATE(2016,6,23),A842&lt;=DATE(2016,7,6)),"Promo 3",IF(AND(A842&gt;=DATE(2016,6,9),A842&lt;=DATE(2016,6,22)),"Baseline 3","Other"))))))</f>
        <v>Other</v>
      </c>
    </row>
    <row r="843" customFormat="false" ht="15" hidden="false" customHeight="true" outlineLevel="0" collapsed="false">
      <c r="A843" s="12" t="n">
        <v>42479</v>
      </c>
      <c r="B843" s="13" t="n">
        <v>126895.936497538</v>
      </c>
      <c r="C843" s="13" t="n">
        <v>133726.280561525</v>
      </c>
      <c r="D843" s="14" t="n">
        <v>3606</v>
      </c>
      <c r="E843" s="15" t="n">
        <f aca="false">B843/D843</f>
        <v>35.1902208811808</v>
      </c>
      <c r="F843" s="15" t="n">
        <f aca="false">C843/D843</f>
        <v>37.0843817419648</v>
      </c>
      <c r="G843" s="13" t="n">
        <f aca="false">B843-C843</f>
        <v>-6830.344063987</v>
      </c>
      <c r="H843" s="16" t="n">
        <f aca="false">G843/B843</f>
        <v>-0.0538263419027568</v>
      </c>
      <c r="I843" s="15" t="n">
        <f aca="false">G843/D843</f>
        <v>-1.89416086078397</v>
      </c>
      <c r="J843" s="16" t="n">
        <f aca="false">I843/E843</f>
        <v>-0.0538263419027568</v>
      </c>
      <c r="K843" s="17" t="str">
        <f aca="false">TEXT(A843,"dddd")</f>
        <v>Tuesday</v>
      </c>
      <c r="L843" s="17" t="str">
        <f aca="false">IF(AND(A843&gt;=DATE(2014,9,24),A843&lt;=DATE(2014,10,6)),"Promo 1",IF(AND(A843&gt;=DATE(2014,9,10),A843&lt;=DATE(2014,9,23)),"Baseline 1",IF(AND(A843&gt;=DATE(2015,9,23),A843&lt;=DATE(2015,10,6)),"Promo 2",IF(AND(A843&gt;=DATE(2015,9,9),A843&lt;=DATE(2015,9,22)),"Baseline 2",IF(AND(A843&gt;=DATE(2016,6,23),A843&lt;=DATE(2016,7,6)),"Promo 3",IF(AND(A843&gt;=DATE(2016,6,9),A843&lt;=DATE(2016,6,22)),"Baseline 3","Other"))))))</f>
        <v>Other</v>
      </c>
    </row>
    <row r="844" customFormat="false" ht="15" hidden="false" customHeight="true" outlineLevel="0" collapsed="false">
      <c r="A844" s="12" t="n">
        <v>42480</v>
      </c>
      <c r="B844" s="13" t="n">
        <v>166395.44582884</v>
      </c>
      <c r="C844" s="13" t="n">
        <v>179020.542458508</v>
      </c>
      <c r="D844" s="14" t="n">
        <v>4838</v>
      </c>
      <c r="E844" s="15" t="n">
        <f aca="false">B844/D844</f>
        <v>34.3934365086482</v>
      </c>
      <c r="F844" s="15" t="n">
        <f aca="false">C844/D844</f>
        <v>37.0030058822877</v>
      </c>
      <c r="G844" s="13" t="n">
        <f aca="false">B844-C844</f>
        <v>-12625.096629668</v>
      </c>
      <c r="H844" s="16" t="n">
        <f aca="false">G844/B844</f>
        <v>-0.0758740515209449</v>
      </c>
      <c r="I844" s="15" t="n">
        <f aca="false">G844/D844</f>
        <v>-2.60956937363952</v>
      </c>
      <c r="J844" s="16" t="n">
        <f aca="false">I844/E844</f>
        <v>-0.0758740515209449</v>
      </c>
      <c r="K844" s="17" t="str">
        <f aca="false">TEXT(A844,"dddd")</f>
        <v>Wednesday</v>
      </c>
      <c r="L844" s="17" t="str">
        <f aca="false">IF(AND(A844&gt;=DATE(2014,9,24),A844&lt;=DATE(2014,10,6)),"Promo 1",IF(AND(A844&gt;=DATE(2014,9,10),A844&lt;=DATE(2014,9,23)),"Baseline 1",IF(AND(A844&gt;=DATE(2015,9,23),A844&lt;=DATE(2015,10,6)),"Promo 2",IF(AND(A844&gt;=DATE(2015,9,9),A844&lt;=DATE(2015,9,22)),"Baseline 2",IF(AND(A844&gt;=DATE(2016,6,23),A844&lt;=DATE(2016,7,6)),"Promo 3",IF(AND(A844&gt;=DATE(2016,6,9),A844&lt;=DATE(2016,6,22)),"Baseline 3","Other"))))))</f>
        <v>Other</v>
      </c>
    </row>
    <row r="845" customFormat="false" ht="15" hidden="false" customHeight="true" outlineLevel="0" collapsed="false">
      <c r="A845" s="12" t="n">
        <v>42481</v>
      </c>
      <c r="B845" s="13" t="n">
        <v>167796.354780001</v>
      </c>
      <c r="C845" s="13" t="n">
        <v>182485.098937054</v>
      </c>
      <c r="D845" s="14" t="n">
        <v>4914</v>
      </c>
      <c r="E845" s="15" t="n">
        <f aca="false">B845/D845</f>
        <v>34.1465923443226</v>
      </c>
      <c r="F845" s="15" t="n">
        <f aca="false">C845/D845</f>
        <v>37.1357547694453</v>
      </c>
      <c r="G845" s="13" t="n">
        <f aca="false">B845-C845</f>
        <v>-14688.744157053</v>
      </c>
      <c r="H845" s="16" t="n">
        <f aca="false">G845/B845</f>
        <v>-0.0875391135660336</v>
      </c>
      <c r="I845" s="15" t="n">
        <f aca="false">G845/D845</f>
        <v>-2.98916242512271</v>
      </c>
      <c r="J845" s="16" t="n">
        <f aca="false">I845/E845</f>
        <v>-0.0875391135660336</v>
      </c>
      <c r="K845" s="17" t="str">
        <f aca="false">TEXT(A845,"dddd")</f>
        <v>Thursday</v>
      </c>
      <c r="L845" s="17" t="str">
        <f aca="false">IF(AND(A845&gt;=DATE(2014,9,24),A845&lt;=DATE(2014,10,6)),"Promo 1",IF(AND(A845&gt;=DATE(2014,9,10),A845&lt;=DATE(2014,9,23)),"Baseline 1",IF(AND(A845&gt;=DATE(2015,9,23),A845&lt;=DATE(2015,10,6)),"Promo 2",IF(AND(A845&gt;=DATE(2015,9,9),A845&lt;=DATE(2015,9,22)),"Baseline 2",IF(AND(A845&gt;=DATE(2016,6,23),A845&lt;=DATE(2016,7,6)),"Promo 3",IF(AND(A845&gt;=DATE(2016,6,9),A845&lt;=DATE(2016,6,22)),"Baseline 3","Other"))))))</f>
        <v>Other</v>
      </c>
    </row>
    <row r="846" customFormat="false" ht="15" hidden="false" customHeight="true" outlineLevel="0" collapsed="false">
      <c r="A846" s="12" t="n">
        <v>42482</v>
      </c>
      <c r="B846" s="13" t="n">
        <v>351146.016999244</v>
      </c>
      <c r="C846" s="13" t="n">
        <v>380098.156403875</v>
      </c>
      <c r="D846" s="14" t="n">
        <v>10269</v>
      </c>
      <c r="E846" s="15" t="n">
        <f aca="false">B846/D846</f>
        <v>34.1947625863515</v>
      </c>
      <c r="F846" s="15" t="n">
        <f aca="false">C846/D846</f>
        <v>37.0141353981766</v>
      </c>
      <c r="G846" s="13" t="n">
        <f aca="false">B846-C846</f>
        <v>-28952.139404631</v>
      </c>
      <c r="H846" s="16" t="n">
        <f aca="false">G846/B846</f>
        <v>-0.0824504280357346</v>
      </c>
      <c r="I846" s="15" t="n">
        <f aca="false">G846/D846</f>
        <v>-2.81937281182501</v>
      </c>
      <c r="J846" s="16" t="n">
        <f aca="false">I846/E846</f>
        <v>-0.0824504280357346</v>
      </c>
      <c r="K846" s="17" t="str">
        <f aca="false">TEXT(A846,"dddd")</f>
        <v>Friday</v>
      </c>
      <c r="L846" s="17" t="str">
        <f aca="false">IF(AND(A846&gt;=DATE(2014,9,24),A846&lt;=DATE(2014,10,6)),"Promo 1",IF(AND(A846&gt;=DATE(2014,9,10),A846&lt;=DATE(2014,9,23)),"Baseline 1",IF(AND(A846&gt;=DATE(2015,9,23),A846&lt;=DATE(2015,10,6)),"Promo 2",IF(AND(A846&gt;=DATE(2015,9,9),A846&lt;=DATE(2015,9,22)),"Baseline 2",IF(AND(A846&gt;=DATE(2016,6,23),A846&lt;=DATE(2016,7,6)),"Promo 3",IF(AND(A846&gt;=DATE(2016,6,9),A846&lt;=DATE(2016,6,22)),"Baseline 3","Other"))))))</f>
        <v>Other</v>
      </c>
    </row>
    <row r="847" customFormat="false" ht="15" hidden="false" customHeight="true" outlineLevel="0" collapsed="false">
      <c r="A847" s="12" t="n">
        <v>42483</v>
      </c>
      <c r="B847" s="13" t="n">
        <v>420738.821759645</v>
      </c>
      <c r="C847" s="13" t="n">
        <v>455415.34932803</v>
      </c>
      <c r="D847" s="14" t="n">
        <v>12317</v>
      </c>
      <c r="E847" s="15" t="n">
        <f aca="false">B847/D847</f>
        <v>34.159196375712</v>
      </c>
      <c r="F847" s="15" t="n">
        <f aca="false">C847/D847</f>
        <v>36.9745351407023</v>
      </c>
      <c r="G847" s="13" t="n">
        <f aca="false">B847-C847</f>
        <v>-34676.527568385</v>
      </c>
      <c r="H847" s="16" t="n">
        <f aca="false">G847/B847</f>
        <v>-0.0824181791054086</v>
      </c>
      <c r="I847" s="15" t="n">
        <f aca="false">G847/D847</f>
        <v>-2.81533876499026</v>
      </c>
      <c r="J847" s="16" t="n">
        <f aca="false">I847/E847</f>
        <v>-0.0824181791054086</v>
      </c>
      <c r="K847" s="17" t="str">
        <f aca="false">TEXT(A847,"dddd")</f>
        <v>Saturday</v>
      </c>
      <c r="L847" s="17" t="str">
        <f aca="false">IF(AND(A847&gt;=DATE(2014,9,24),A847&lt;=DATE(2014,10,6)),"Promo 1",IF(AND(A847&gt;=DATE(2014,9,10),A847&lt;=DATE(2014,9,23)),"Baseline 1",IF(AND(A847&gt;=DATE(2015,9,23),A847&lt;=DATE(2015,10,6)),"Promo 2",IF(AND(A847&gt;=DATE(2015,9,9),A847&lt;=DATE(2015,9,22)),"Baseline 2",IF(AND(A847&gt;=DATE(2016,6,23),A847&lt;=DATE(2016,7,6)),"Promo 3",IF(AND(A847&gt;=DATE(2016,6,9),A847&lt;=DATE(2016,6,22)),"Baseline 3","Other"))))))</f>
        <v>Other</v>
      </c>
    </row>
    <row r="848" customFormat="false" ht="15" hidden="false" customHeight="true" outlineLevel="0" collapsed="false">
      <c r="A848" s="12" t="n">
        <v>42484</v>
      </c>
      <c r="B848" s="13" t="n">
        <v>186166.150786439</v>
      </c>
      <c r="C848" s="13" t="n">
        <v>202391.17869529</v>
      </c>
      <c r="D848" s="14" t="n">
        <v>5453</v>
      </c>
      <c r="E848" s="15" t="n">
        <f aca="false">B848/D848</f>
        <v>34.1401340154849</v>
      </c>
      <c r="F848" s="15" t="n">
        <f aca="false">C848/D848</f>
        <v>37.1155655043627</v>
      </c>
      <c r="G848" s="13" t="n">
        <f aca="false">B848-C848</f>
        <v>-16225.027908851</v>
      </c>
      <c r="H848" s="16" t="n">
        <f aca="false">G848/B848</f>
        <v>-0.0871534800516105</v>
      </c>
      <c r="I848" s="15" t="n">
        <f aca="false">G848/D848</f>
        <v>-2.97543148887787</v>
      </c>
      <c r="J848" s="16" t="n">
        <f aca="false">I848/E848</f>
        <v>-0.0871534800516105</v>
      </c>
      <c r="K848" s="17" t="str">
        <f aca="false">TEXT(A848,"dddd")</f>
        <v>Sunday</v>
      </c>
      <c r="L848" s="17" t="str">
        <f aca="false">IF(AND(A848&gt;=DATE(2014,9,24),A848&lt;=DATE(2014,10,6)),"Promo 1",IF(AND(A848&gt;=DATE(2014,9,10),A848&lt;=DATE(2014,9,23)),"Baseline 1",IF(AND(A848&gt;=DATE(2015,9,23),A848&lt;=DATE(2015,10,6)),"Promo 2",IF(AND(A848&gt;=DATE(2015,9,9),A848&lt;=DATE(2015,9,22)),"Baseline 2",IF(AND(A848&gt;=DATE(2016,6,23),A848&lt;=DATE(2016,7,6)),"Promo 3",IF(AND(A848&gt;=DATE(2016,6,9),A848&lt;=DATE(2016,6,22)),"Baseline 3","Other"))))))</f>
        <v>Other</v>
      </c>
    </row>
    <row r="849" customFormat="false" ht="15" hidden="false" customHeight="true" outlineLevel="0" collapsed="false">
      <c r="A849" s="12" t="n">
        <v>42485</v>
      </c>
      <c r="B849" s="13" t="n">
        <v>251449.529639191</v>
      </c>
      <c r="C849" s="13" t="n">
        <v>273255.098530793</v>
      </c>
      <c r="D849" s="14" t="n">
        <v>7372</v>
      </c>
      <c r="E849" s="15" t="n">
        <f aca="false">B849/D849</f>
        <v>34.108726212587</v>
      </c>
      <c r="F849" s="15" t="n">
        <f aca="false">C849/D849</f>
        <v>37.0666167296247</v>
      </c>
      <c r="G849" s="13" t="n">
        <f aca="false">B849-C849</f>
        <v>-21805.568891602</v>
      </c>
      <c r="H849" s="16" t="n">
        <f aca="false">G849/B849</f>
        <v>-0.0867194658223905</v>
      </c>
      <c r="I849" s="15" t="n">
        <f aca="false">G849/D849</f>
        <v>-2.95789051703771</v>
      </c>
      <c r="J849" s="16" t="n">
        <f aca="false">I849/E849</f>
        <v>-0.0867194658223905</v>
      </c>
      <c r="K849" s="17" t="str">
        <f aca="false">TEXT(A849,"dddd")</f>
        <v>Monday</v>
      </c>
      <c r="L849" s="17" t="str">
        <f aca="false">IF(AND(A849&gt;=DATE(2014,9,24),A849&lt;=DATE(2014,10,6)),"Promo 1",IF(AND(A849&gt;=DATE(2014,9,10),A849&lt;=DATE(2014,9,23)),"Baseline 1",IF(AND(A849&gt;=DATE(2015,9,23),A849&lt;=DATE(2015,10,6)),"Promo 2",IF(AND(A849&gt;=DATE(2015,9,9),A849&lt;=DATE(2015,9,22)),"Baseline 2",IF(AND(A849&gt;=DATE(2016,6,23),A849&lt;=DATE(2016,7,6)),"Promo 3",IF(AND(A849&gt;=DATE(2016,6,9),A849&lt;=DATE(2016,6,22)),"Baseline 3","Other"))))))</f>
        <v>Other</v>
      </c>
    </row>
    <row r="850" customFormat="false" ht="15" hidden="false" customHeight="true" outlineLevel="0" collapsed="false">
      <c r="A850" s="12" t="n">
        <v>42486</v>
      </c>
      <c r="B850" s="13" t="n">
        <v>280321.810746766</v>
      </c>
      <c r="C850" s="13" t="n">
        <v>302469.831975235</v>
      </c>
      <c r="D850" s="14" t="n">
        <v>8211</v>
      </c>
      <c r="E850" s="15" t="n">
        <f aca="false">B850/D850</f>
        <v>34.1397893979742</v>
      </c>
      <c r="F850" s="15" t="n">
        <f aca="false">C850/D850</f>
        <v>36.8371491870948</v>
      </c>
      <c r="G850" s="13" t="n">
        <f aca="false">B850-C850</f>
        <v>-22148.021228469</v>
      </c>
      <c r="H850" s="16" t="n">
        <f aca="false">G850/B850</f>
        <v>-0.0790092685598299</v>
      </c>
      <c r="I850" s="15" t="n">
        <f aca="false">G850/D850</f>
        <v>-2.69735978912057</v>
      </c>
      <c r="J850" s="16" t="n">
        <f aca="false">I850/E850</f>
        <v>-0.0790092685598299</v>
      </c>
      <c r="K850" s="17" t="str">
        <f aca="false">TEXT(A850,"dddd")</f>
        <v>Tuesday</v>
      </c>
      <c r="L850" s="17" t="str">
        <f aca="false">IF(AND(A850&gt;=DATE(2014,9,24),A850&lt;=DATE(2014,10,6)),"Promo 1",IF(AND(A850&gt;=DATE(2014,9,10),A850&lt;=DATE(2014,9,23)),"Baseline 1",IF(AND(A850&gt;=DATE(2015,9,23),A850&lt;=DATE(2015,10,6)),"Promo 2",IF(AND(A850&gt;=DATE(2015,9,9),A850&lt;=DATE(2015,9,22)),"Baseline 2",IF(AND(A850&gt;=DATE(2016,6,23),A850&lt;=DATE(2016,7,6)),"Promo 3",IF(AND(A850&gt;=DATE(2016,6,9),A850&lt;=DATE(2016,6,22)),"Baseline 3","Other"))))))</f>
        <v>Other</v>
      </c>
    </row>
    <row r="851" customFormat="false" ht="15" hidden="false" customHeight="true" outlineLevel="0" collapsed="false">
      <c r="A851" s="12" t="n">
        <v>42487</v>
      </c>
      <c r="B851" s="13" t="n">
        <v>313434.933313665</v>
      </c>
      <c r="C851" s="13" t="n">
        <v>337931.116966197</v>
      </c>
      <c r="D851" s="14" t="n">
        <v>9182</v>
      </c>
      <c r="E851" s="15" t="n">
        <f aca="false">B851/D851</f>
        <v>34.1358019291728</v>
      </c>
      <c r="F851" s="15" t="n">
        <f aca="false">C851/D851</f>
        <v>36.8036502903721</v>
      </c>
      <c r="G851" s="13" t="n">
        <f aca="false">B851-C851</f>
        <v>-24496.183652532</v>
      </c>
      <c r="H851" s="16" t="n">
        <f aca="false">G851/B851</f>
        <v>-0.0781539676945257</v>
      </c>
      <c r="I851" s="15" t="n">
        <f aca="false">G851/D851</f>
        <v>-2.6678483611993</v>
      </c>
      <c r="J851" s="16" t="n">
        <f aca="false">I851/E851</f>
        <v>-0.0781539676945257</v>
      </c>
      <c r="K851" s="17" t="str">
        <f aca="false">TEXT(A851,"dddd")</f>
        <v>Wednesday</v>
      </c>
      <c r="L851" s="17" t="str">
        <f aca="false">IF(AND(A851&gt;=DATE(2014,9,24),A851&lt;=DATE(2014,10,6)),"Promo 1",IF(AND(A851&gt;=DATE(2014,9,10),A851&lt;=DATE(2014,9,23)),"Baseline 1",IF(AND(A851&gt;=DATE(2015,9,23),A851&lt;=DATE(2015,10,6)),"Promo 2",IF(AND(A851&gt;=DATE(2015,9,9),A851&lt;=DATE(2015,9,22)),"Baseline 2",IF(AND(A851&gt;=DATE(2016,6,23),A851&lt;=DATE(2016,7,6)),"Promo 3",IF(AND(A851&gt;=DATE(2016,6,9),A851&lt;=DATE(2016,6,22)),"Baseline 3","Other"))))))</f>
        <v>Other</v>
      </c>
    </row>
    <row r="852" customFormat="false" ht="15" hidden="false" customHeight="true" outlineLevel="0" collapsed="false">
      <c r="A852" s="12" t="n">
        <v>42488</v>
      </c>
      <c r="B852" s="13" t="n">
        <v>257324.60308094</v>
      </c>
      <c r="C852" s="13" t="n">
        <v>276852.179942577</v>
      </c>
      <c r="D852" s="14" t="n">
        <v>7520</v>
      </c>
      <c r="E852" s="15" t="n">
        <f aca="false">B852/D852</f>
        <v>34.2186972182101</v>
      </c>
      <c r="F852" s="15" t="n">
        <f aca="false">C852/D852</f>
        <v>36.8154494604491</v>
      </c>
      <c r="G852" s="13" t="n">
        <f aca="false">B852-C852</f>
        <v>-19527.576861637</v>
      </c>
      <c r="H852" s="16" t="n">
        <f aca="false">G852/B852</f>
        <v>-0.0758869405716899</v>
      </c>
      <c r="I852" s="15" t="n">
        <f aca="false">G852/D852</f>
        <v>-2.59675224223896</v>
      </c>
      <c r="J852" s="16" t="n">
        <f aca="false">I852/E852</f>
        <v>-0.0758869405716899</v>
      </c>
      <c r="K852" s="17" t="str">
        <f aca="false">TEXT(A852,"dddd")</f>
        <v>Thursday</v>
      </c>
      <c r="L852" s="17" t="str">
        <f aca="false">IF(AND(A852&gt;=DATE(2014,9,24),A852&lt;=DATE(2014,10,6)),"Promo 1",IF(AND(A852&gt;=DATE(2014,9,10),A852&lt;=DATE(2014,9,23)),"Baseline 1",IF(AND(A852&gt;=DATE(2015,9,23),A852&lt;=DATE(2015,10,6)),"Promo 2",IF(AND(A852&gt;=DATE(2015,9,9),A852&lt;=DATE(2015,9,22)),"Baseline 2",IF(AND(A852&gt;=DATE(2016,6,23),A852&lt;=DATE(2016,7,6)),"Promo 3",IF(AND(A852&gt;=DATE(2016,6,9),A852&lt;=DATE(2016,6,22)),"Baseline 3","Other"))))))</f>
        <v>Other</v>
      </c>
    </row>
    <row r="853" customFormat="false" ht="15" hidden="false" customHeight="true" outlineLevel="0" collapsed="false">
      <c r="A853" s="12" t="n">
        <v>42489</v>
      </c>
      <c r="B853" s="13" t="n">
        <v>455554.33604823</v>
      </c>
      <c r="C853" s="13" t="n">
        <v>489215.067537896</v>
      </c>
      <c r="D853" s="14" t="n">
        <v>13321</v>
      </c>
      <c r="E853" s="15" t="n">
        <f aca="false">B853/D853</f>
        <v>34.1982085465228</v>
      </c>
      <c r="F853" s="15" t="n">
        <f aca="false">C853/D853</f>
        <v>36.725100783567</v>
      </c>
      <c r="G853" s="13" t="n">
        <f aca="false">B853-C853</f>
        <v>-33660.731489666</v>
      </c>
      <c r="H853" s="16" t="n">
        <f aca="false">G853/B853</f>
        <v>-0.0738896083871371</v>
      </c>
      <c r="I853" s="15" t="n">
        <f aca="false">G853/D853</f>
        <v>-2.52689223704421</v>
      </c>
      <c r="J853" s="16" t="n">
        <f aca="false">I853/E853</f>
        <v>-0.0738896083871371</v>
      </c>
      <c r="K853" s="17" t="str">
        <f aca="false">TEXT(A853,"dddd")</f>
        <v>Friday</v>
      </c>
      <c r="L853" s="17" t="str">
        <f aca="false">IF(AND(A853&gt;=DATE(2014,9,24),A853&lt;=DATE(2014,10,6)),"Promo 1",IF(AND(A853&gt;=DATE(2014,9,10),A853&lt;=DATE(2014,9,23)),"Baseline 1",IF(AND(A853&gt;=DATE(2015,9,23),A853&lt;=DATE(2015,10,6)),"Promo 2",IF(AND(A853&gt;=DATE(2015,9,9),A853&lt;=DATE(2015,9,22)),"Baseline 2",IF(AND(A853&gt;=DATE(2016,6,23),A853&lt;=DATE(2016,7,6)),"Promo 3",IF(AND(A853&gt;=DATE(2016,6,9),A853&lt;=DATE(2016,6,22)),"Baseline 3","Other"))))))</f>
        <v>Other</v>
      </c>
    </row>
    <row r="854" customFormat="false" ht="15" hidden="false" customHeight="true" outlineLevel="0" collapsed="false">
      <c r="A854" s="12" t="n">
        <v>42490</v>
      </c>
      <c r="B854" s="13" t="n">
        <v>556865.203275052</v>
      </c>
      <c r="C854" s="13" t="n">
        <v>598925.667888701</v>
      </c>
      <c r="D854" s="14" t="n">
        <v>16276</v>
      </c>
      <c r="E854" s="15" t="n">
        <f aca="false">B854/D854</f>
        <v>34.2138856767665</v>
      </c>
      <c r="F854" s="15" t="n">
        <f aca="false">C854/D854</f>
        <v>36.7980872381851</v>
      </c>
      <c r="G854" s="13" t="n">
        <f aca="false">B854-C854</f>
        <v>-42060.464613649</v>
      </c>
      <c r="H854" s="16" t="n">
        <f aca="false">G854/B854</f>
        <v>-0.0755307826136051</v>
      </c>
      <c r="I854" s="15" t="n">
        <f aca="false">G854/D854</f>
        <v>-2.58420156141859</v>
      </c>
      <c r="J854" s="16" t="n">
        <f aca="false">I854/E854</f>
        <v>-0.0755307826136051</v>
      </c>
      <c r="K854" s="17" t="str">
        <f aca="false">TEXT(A854,"dddd")</f>
        <v>Saturday</v>
      </c>
      <c r="L854" s="17" t="str">
        <f aca="false">IF(AND(A854&gt;=DATE(2014,9,24),A854&lt;=DATE(2014,10,6)),"Promo 1",IF(AND(A854&gt;=DATE(2014,9,10),A854&lt;=DATE(2014,9,23)),"Baseline 1",IF(AND(A854&gt;=DATE(2015,9,23),A854&lt;=DATE(2015,10,6)),"Promo 2",IF(AND(A854&gt;=DATE(2015,9,9),A854&lt;=DATE(2015,9,22)),"Baseline 2",IF(AND(A854&gt;=DATE(2016,6,23),A854&lt;=DATE(2016,7,6)),"Promo 3",IF(AND(A854&gt;=DATE(2016,6,9),A854&lt;=DATE(2016,6,22)),"Baseline 3","Other"))))))</f>
        <v>Other</v>
      </c>
    </row>
    <row r="855" customFormat="false" ht="15" hidden="false" customHeight="true" outlineLevel="0" collapsed="false">
      <c r="A855" s="12" t="n">
        <v>42491</v>
      </c>
      <c r="B855" s="13" t="n">
        <v>354856.044922087</v>
      </c>
      <c r="C855" s="13" t="n">
        <v>380511.159158109</v>
      </c>
      <c r="D855" s="14" t="n">
        <v>10388</v>
      </c>
      <c r="E855" s="15" t="n">
        <f aca="false">B855/D855</f>
        <v>34.1601891530696</v>
      </c>
      <c r="F855" s="15" t="n">
        <f aca="false">C855/D855</f>
        <v>36.6298766998565</v>
      </c>
      <c r="G855" s="13" t="n">
        <f aca="false">B855-C855</f>
        <v>-25655.114236022</v>
      </c>
      <c r="H855" s="16" t="n">
        <f aca="false">G855/B855</f>
        <v>-0.0722972444830548</v>
      </c>
      <c r="I855" s="15" t="n">
        <f aca="false">G855/D855</f>
        <v>-2.46968754678687</v>
      </c>
      <c r="J855" s="16" t="n">
        <f aca="false">I855/E855</f>
        <v>-0.0722972444830548</v>
      </c>
      <c r="K855" s="17" t="str">
        <f aca="false">TEXT(A855,"dddd")</f>
        <v>Sunday</v>
      </c>
      <c r="L855" s="17" t="str">
        <f aca="false">IF(AND(A855&gt;=DATE(2014,9,24),A855&lt;=DATE(2014,10,6)),"Promo 1",IF(AND(A855&gt;=DATE(2014,9,10),A855&lt;=DATE(2014,9,23)),"Baseline 1",IF(AND(A855&gt;=DATE(2015,9,23),A855&lt;=DATE(2015,10,6)),"Promo 2",IF(AND(A855&gt;=DATE(2015,9,9),A855&lt;=DATE(2015,9,22)),"Baseline 2",IF(AND(A855&gt;=DATE(2016,6,23),A855&lt;=DATE(2016,7,6)),"Promo 3",IF(AND(A855&gt;=DATE(2016,6,9),A855&lt;=DATE(2016,6,22)),"Baseline 3","Other"))))))</f>
        <v>Other</v>
      </c>
    </row>
    <row r="856" customFormat="false" ht="15" hidden="false" customHeight="true" outlineLevel="0" collapsed="false">
      <c r="A856" s="12" t="n">
        <v>42492</v>
      </c>
      <c r="B856" s="13" t="n">
        <v>283284.581253971</v>
      </c>
      <c r="C856" s="13" t="n">
        <v>304997.851816896</v>
      </c>
      <c r="D856" s="14" t="n">
        <v>8298</v>
      </c>
      <c r="E856" s="15" t="n">
        <f aca="false">B856/D856</f>
        <v>34.1388986808835</v>
      </c>
      <c r="F856" s="15" t="n">
        <f aca="false">C856/D856</f>
        <v>36.7555859022531</v>
      </c>
      <c r="G856" s="13" t="n">
        <f aca="false">B856-C856</f>
        <v>-21713.270562925</v>
      </c>
      <c r="H856" s="16" t="n">
        <f aca="false">G856/B856</f>
        <v>-0.076648261147184</v>
      </c>
      <c r="I856" s="15" t="n">
        <f aca="false">G856/D856</f>
        <v>-2.61668722136961</v>
      </c>
      <c r="J856" s="16" t="n">
        <f aca="false">I856/E856</f>
        <v>-0.076648261147184</v>
      </c>
      <c r="K856" s="17" t="str">
        <f aca="false">TEXT(A856,"dddd")</f>
        <v>Monday</v>
      </c>
      <c r="L856" s="17" t="str">
        <f aca="false">IF(AND(A856&gt;=DATE(2014,9,24),A856&lt;=DATE(2014,10,6)),"Promo 1",IF(AND(A856&gt;=DATE(2014,9,10),A856&lt;=DATE(2014,9,23)),"Baseline 1",IF(AND(A856&gt;=DATE(2015,9,23),A856&lt;=DATE(2015,10,6)),"Promo 2",IF(AND(A856&gt;=DATE(2015,9,9),A856&lt;=DATE(2015,9,22)),"Baseline 2",IF(AND(A856&gt;=DATE(2016,6,23),A856&lt;=DATE(2016,7,6)),"Promo 3",IF(AND(A856&gt;=DATE(2016,6,9),A856&lt;=DATE(2016,6,22)),"Baseline 3","Other"))))))</f>
        <v>Other</v>
      </c>
    </row>
    <row r="857" customFormat="false" ht="15" hidden="false" customHeight="true" outlineLevel="0" collapsed="false">
      <c r="A857" s="12" t="n">
        <v>42493</v>
      </c>
      <c r="B857" s="13" t="n">
        <v>297500.673968726</v>
      </c>
      <c r="C857" s="13" t="n">
        <v>319786.359468561</v>
      </c>
      <c r="D857" s="14" t="n">
        <v>8717</v>
      </c>
      <c r="E857" s="15" t="n">
        <f aca="false">B857/D857</f>
        <v>34.1287913237038</v>
      </c>
      <c r="F857" s="15" t="n">
        <f aca="false">C857/D857</f>
        <v>36.6853687585822</v>
      </c>
      <c r="G857" s="13" t="n">
        <f aca="false">B857-C857</f>
        <v>-22285.685499835</v>
      </c>
      <c r="H857" s="16" t="n">
        <f aca="false">G857/B857</f>
        <v>-0.0749096975228289</v>
      </c>
      <c r="I857" s="15" t="n">
        <f aca="false">G857/D857</f>
        <v>-2.5565774348784</v>
      </c>
      <c r="J857" s="16" t="n">
        <f aca="false">I857/E857</f>
        <v>-0.0749096975228289</v>
      </c>
      <c r="K857" s="17" t="str">
        <f aca="false">TEXT(A857,"dddd")</f>
        <v>Tuesday</v>
      </c>
      <c r="L857" s="17" t="str">
        <f aca="false">IF(AND(A857&gt;=DATE(2014,9,24),A857&lt;=DATE(2014,10,6)),"Promo 1",IF(AND(A857&gt;=DATE(2014,9,10),A857&lt;=DATE(2014,9,23)),"Baseline 1",IF(AND(A857&gt;=DATE(2015,9,23),A857&lt;=DATE(2015,10,6)),"Promo 2",IF(AND(A857&gt;=DATE(2015,9,9),A857&lt;=DATE(2015,9,22)),"Baseline 2",IF(AND(A857&gt;=DATE(2016,6,23),A857&lt;=DATE(2016,7,6)),"Promo 3",IF(AND(A857&gt;=DATE(2016,6,9),A857&lt;=DATE(2016,6,22)),"Baseline 3","Other"))))))</f>
        <v>Other</v>
      </c>
    </row>
    <row r="858" customFormat="false" ht="15" hidden="false" customHeight="true" outlineLevel="0" collapsed="false">
      <c r="A858" s="12" t="n">
        <v>42494</v>
      </c>
      <c r="B858" s="13" t="n">
        <v>285968.48778252</v>
      </c>
      <c r="C858" s="13" t="n">
        <v>305506.998234948</v>
      </c>
      <c r="D858" s="14" t="n">
        <v>8364</v>
      </c>
      <c r="E858" s="15" t="n">
        <f aca="false">B858/D858</f>
        <v>34.1903978697418</v>
      </c>
      <c r="F858" s="15" t="n">
        <f aca="false">C858/D858</f>
        <v>36.526422553198</v>
      </c>
      <c r="G858" s="13" t="n">
        <f aca="false">B858-C858</f>
        <v>-19538.510452428</v>
      </c>
      <c r="H858" s="16" t="n">
        <f aca="false">G858/B858</f>
        <v>-0.0683239982276898</v>
      </c>
      <c r="I858" s="15" t="n">
        <f aca="false">G858/D858</f>
        <v>-2.33602468345624</v>
      </c>
      <c r="J858" s="16" t="n">
        <f aca="false">I858/E858</f>
        <v>-0.0683239982276898</v>
      </c>
      <c r="K858" s="17" t="str">
        <f aca="false">TEXT(A858,"dddd")</f>
        <v>Wednesday</v>
      </c>
      <c r="L858" s="17" t="str">
        <f aca="false">IF(AND(A858&gt;=DATE(2014,9,24),A858&lt;=DATE(2014,10,6)),"Promo 1",IF(AND(A858&gt;=DATE(2014,9,10),A858&lt;=DATE(2014,9,23)),"Baseline 1",IF(AND(A858&gt;=DATE(2015,9,23),A858&lt;=DATE(2015,10,6)),"Promo 2",IF(AND(A858&gt;=DATE(2015,9,9),A858&lt;=DATE(2015,9,22)),"Baseline 2",IF(AND(A858&gt;=DATE(2016,6,23),A858&lt;=DATE(2016,7,6)),"Promo 3",IF(AND(A858&gt;=DATE(2016,6,9),A858&lt;=DATE(2016,6,22)),"Baseline 3","Other"))))))</f>
        <v>Other</v>
      </c>
    </row>
    <row r="859" customFormat="false" ht="15" hidden="false" customHeight="true" outlineLevel="0" collapsed="false">
      <c r="A859" s="12" t="n">
        <v>42495</v>
      </c>
      <c r="B859" s="13" t="n">
        <v>237946.632672264</v>
      </c>
      <c r="C859" s="13" t="n">
        <v>254527.415505526</v>
      </c>
      <c r="D859" s="14" t="n">
        <v>6968</v>
      </c>
      <c r="E859" s="15" t="n">
        <f aca="false">B859/D859</f>
        <v>34.1484834489472</v>
      </c>
      <c r="F859" s="15" t="n">
        <f aca="false">C859/D859</f>
        <v>36.5280447051559</v>
      </c>
      <c r="G859" s="13" t="n">
        <f aca="false">B859-C859</f>
        <v>-16580.782833262</v>
      </c>
      <c r="H859" s="16" t="n">
        <f aca="false">G859/B859</f>
        <v>-0.0696827799034229</v>
      </c>
      <c r="I859" s="15" t="n">
        <f aca="false">G859/D859</f>
        <v>-2.37956125620867</v>
      </c>
      <c r="J859" s="16" t="n">
        <f aca="false">I859/E859</f>
        <v>-0.0696827799034229</v>
      </c>
      <c r="K859" s="17" t="str">
        <f aca="false">TEXT(A859,"dddd")</f>
        <v>Thursday</v>
      </c>
      <c r="L859" s="17" t="str">
        <f aca="false">IF(AND(A859&gt;=DATE(2014,9,24),A859&lt;=DATE(2014,10,6)),"Promo 1",IF(AND(A859&gt;=DATE(2014,9,10),A859&lt;=DATE(2014,9,23)),"Baseline 1",IF(AND(A859&gt;=DATE(2015,9,23),A859&lt;=DATE(2015,10,6)),"Promo 2",IF(AND(A859&gt;=DATE(2015,9,9),A859&lt;=DATE(2015,9,22)),"Baseline 2",IF(AND(A859&gt;=DATE(2016,6,23),A859&lt;=DATE(2016,7,6)),"Promo 3",IF(AND(A859&gt;=DATE(2016,6,9),A859&lt;=DATE(2016,6,22)),"Baseline 3","Other"))))))</f>
        <v>Other</v>
      </c>
    </row>
    <row r="860" customFormat="false" ht="15" hidden="false" customHeight="true" outlineLevel="0" collapsed="false">
      <c r="A860" s="12" t="n">
        <v>42496</v>
      </c>
      <c r="B860" s="13" t="n">
        <v>340851.50586486</v>
      </c>
      <c r="C860" s="13" t="n">
        <v>364361.032864139</v>
      </c>
      <c r="D860" s="14" t="n">
        <v>9973</v>
      </c>
      <c r="E860" s="15" t="n">
        <f aca="false">B860/D860</f>
        <v>34.1774296465316</v>
      </c>
      <c r="F860" s="15" t="n">
        <f aca="false">C860/D860</f>
        <v>36.5347471035936</v>
      </c>
      <c r="G860" s="13" t="n">
        <f aca="false">B860-C860</f>
        <v>-23509.526999279</v>
      </c>
      <c r="H860" s="16" t="n">
        <f aca="false">G860/B860</f>
        <v>-0.0689729298382504</v>
      </c>
      <c r="I860" s="15" t="n">
        <f aca="false">G860/D860</f>
        <v>-2.35731745706197</v>
      </c>
      <c r="J860" s="16" t="n">
        <f aca="false">I860/E860</f>
        <v>-0.0689729298382504</v>
      </c>
      <c r="K860" s="17" t="str">
        <f aca="false">TEXT(A860,"dddd")</f>
        <v>Friday</v>
      </c>
      <c r="L860" s="17" t="str">
        <f aca="false">IF(AND(A860&gt;=DATE(2014,9,24),A860&lt;=DATE(2014,10,6)),"Promo 1",IF(AND(A860&gt;=DATE(2014,9,10),A860&lt;=DATE(2014,9,23)),"Baseline 1",IF(AND(A860&gt;=DATE(2015,9,23),A860&lt;=DATE(2015,10,6)),"Promo 2",IF(AND(A860&gt;=DATE(2015,9,9),A860&lt;=DATE(2015,9,22)),"Baseline 2",IF(AND(A860&gt;=DATE(2016,6,23),A860&lt;=DATE(2016,7,6)),"Promo 3",IF(AND(A860&gt;=DATE(2016,6,9),A860&lt;=DATE(2016,6,22)),"Baseline 3","Other"))))))</f>
        <v>Other</v>
      </c>
    </row>
    <row r="861" customFormat="false" ht="15" hidden="false" customHeight="true" outlineLevel="0" collapsed="false">
      <c r="A861" s="12" t="n">
        <v>42497</v>
      </c>
      <c r="B861" s="13" t="n">
        <v>388187.601433528</v>
      </c>
      <c r="C861" s="13" t="n">
        <v>414644.623490811</v>
      </c>
      <c r="D861" s="14" t="n">
        <v>11363</v>
      </c>
      <c r="E861" s="15" t="n">
        <f aca="false">B861/D861</f>
        <v>34.1624220217837</v>
      </c>
      <c r="F861" s="15" t="n">
        <f aca="false">C861/D861</f>
        <v>36.490770350331</v>
      </c>
      <c r="G861" s="13" t="n">
        <f aca="false">B861-C861</f>
        <v>-26457.022057283</v>
      </c>
      <c r="H861" s="16" t="n">
        <f aca="false">G861/B861</f>
        <v>-0.0681552475132655</v>
      </c>
      <c r="I861" s="15" t="n">
        <f aca="false">G861/D861</f>
        <v>-2.3283483285473</v>
      </c>
      <c r="J861" s="16" t="n">
        <f aca="false">I861/E861</f>
        <v>-0.0681552475132655</v>
      </c>
      <c r="K861" s="17" t="str">
        <f aca="false">TEXT(A861,"dddd")</f>
        <v>Saturday</v>
      </c>
      <c r="L861" s="17" t="str">
        <f aca="false">IF(AND(A861&gt;=DATE(2014,9,24),A861&lt;=DATE(2014,10,6)),"Promo 1",IF(AND(A861&gt;=DATE(2014,9,10),A861&lt;=DATE(2014,9,23)),"Baseline 1",IF(AND(A861&gt;=DATE(2015,9,23),A861&lt;=DATE(2015,10,6)),"Promo 2",IF(AND(A861&gt;=DATE(2015,9,9),A861&lt;=DATE(2015,9,22)),"Baseline 2",IF(AND(A861&gt;=DATE(2016,6,23),A861&lt;=DATE(2016,7,6)),"Promo 3",IF(AND(A861&gt;=DATE(2016,6,9),A861&lt;=DATE(2016,6,22)),"Baseline 3","Other"))))))</f>
        <v>Other</v>
      </c>
    </row>
    <row r="862" customFormat="false" ht="15" hidden="false" customHeight="true" outlineLevel="0" collapsed="false">
      <c r="A862" s="12" t="n">
        <v>42498</v>
      </c>
      <c r="B862" s="13" t="n">
        <v>139178.984059245</v>
      </c>
      <c r="C862" s="13" t="n">
        <v>148731.090527304</v>
      </c>
      <c r="D862" s="14" t="n">
        <v>4074</v>
      </c>
      <c r="E862" s="15" t="n">
        <f aca="false">B862/D862</f>
        <v>34.1627354097312</v>
      </c>
      <c r="F862" s="15" t="n">
        <f aca="false">C862/D862</f>
        <v>36.5073859909926</v>
      </c>
      <c r="G862" s="13" t="n">
        <f aca="false">B862-C862</f>
        <v>-9552.10646805901</v>
      </c>
      <c r="H862" s="16" t="n">
        <f aca="false">G862/B862</f>
        <v>-0.0686318163092275</v>
      </c>
      <c r="I862" s="15" t="n">
        <f aca="false">G862/D862</f>
        <v>-2.34465058126142</v>
      </c>
      <c r="J862" s="16" t="n">
        <f aca="false">I862/E862</f>
        <v>-0.0686318163092275</v>
      </c>
      <c r="K862" s="17" t="str">
        <f aca="false">TEXT(A862,"dddd")</f>
        <v>Sunday</v>
      </c>
      <c r="L862" s="17" t="str">
        <f aca="false">IF(AND(A862&gt;=DATE(2014,9,24),A862&lt;=DATE(2014,10,6)),"Promo 1",IF(AND(A862&gt;=DATE(2014,9,10),A862&lt;=DATE(2014,9,23)),"Baseline 1",IF(AND(A862&gt;=DATE(2015,9,23),A862&lt;=DATE(2015,10,6)),"Promo 2",IF(AND(A862&gt;=DATE(2015,9,9),A862&lt;=DATE(2015,9,22)),"Baseline 2",IF(AND(A862&gt;=DATE(2016,6,23),A862&lt;=DATE(2016,7,6)),"Promo 3",IF(AND(A862&gt;=DATE(2016,6,9),A862&lt;=DATE(2016,6,22)),"Baseline 3","Other"))))))</f>
        <v>Other</v>
      </c>
    </row>
    <row r="863" customFormat="false" ht="15" hidden="false" customHeight="true" outlineLevel="0" collapsed="false">
      <c r="A863" s="12" t="n">
        <v>42499</v>
      </c>
      <c r="B863" s="13" t="n">
        <v>66400.3030472695</v>
      </c>
      <c r="C863" s="13" t="n">
        <v>57741.7389075126</v>
      </c>
      <c r="D863" s="14" t="n">
        <v>1579</v>
      </c>
      <c r="E863" s="15" t="n">
        <f aca="false">B863/D863</f>
        <v>42.0521235258198</v>
      </c>
      <c r="F863" s="15" t="n">
        <f aca="false">C863/D863</f>
        <v>36.5685490231239</v>
      </c>
      <c r="G863" s="13" t="n">
        <f aca="false">B863-C863</f>
        <v>8658.5641397569</v>
      </c>
      <c r="H863" s="16" t="n">
        <f aca="false">G863/B863</f>
        <v>0.130399467207145</v>
      </c>
      <c r="I863" s="15" t="n">
        <f aca="false">G863/D863</f>
        <v>5.48357450269595</v>
      </c>
      <c r="J863" s="16" t="n">
        <f aca="false">I863/E863</f>
        <v>0.130399467207145</v>
      </c>
      <c r="K863" s="17" t="str">
        <f aca="false">TEXT(A863,"dddd")</f>
        <v>Monday</v>
      </c>
      <c r="L863" s="17" t="str">
        <f aca="false">IF(AND(A863&gt;=DATE(2014,9,24),A863&lt;=DATE(2014,10,6)),"Promo 1",IF(AND(A863&gt;=DATE(2014,9,10),A863&lt;=DATE(2014,9,23)),"Baseline 1",IF(AND(A863&gt;=DATE(2015,9,23),A863&lt;=DATE(2015,10,6)),"Promo 2",IF(AND(A863&gt;=DATE(2015,9,9),A863&lt;=DATE(2015,9,22)),"Baseline 2",IF(AND(A863&gt;=DATE(2016,6,23),A863&lt;=DATE(2016,7,6)),"Promo 3",IF(AND(A863&gt;=DATE(2016,6,9),A863&lt;=DATE(2016,6,22)),"Baseline 3","Other"))))))</f>
        <v>Other</v>
      </c>
    </row>
    <row r="864" customFormat="false" ht="15" hidden="false" customHeight="true" outlineLevel="0" collapsed="false">
      <c r="A864" s="12" t="n">
        <v>42500</v>
      </c>
      <c r="B864" s="13" t="n">
        <v>42723.5244578102</v>
      </c>
      <c r="C864" s="13" t="n">
        <v>37112.9850569903</v>
      </c>
      <c r="D864" s="14" t="n">
        <v>1016</v>
      </c>
      <c r="E864" s="15" t="n">
        <f aca="false">B864/D864</f>
        <v>42.0507130490258</v>
      </c>
      <c r="F864" s="15" t="n">
        <f aca="false">C864/D864</f>
        <v>36.5285285993999</v>
      </c>
      <c r="G864" s="13" t="n">
        <f aca="false">B864-C864</f>
        <v>5610.5394008199</v>
      </c>
      <c r="H864" s="16" t="n">
        <f aca="false">G864/B864</f>
        <v>0.131322016898684</v>
      </c>
      <c r="I864" s="15" t="n">
        <f aca="false">G864/D864</f>
        <v>5.52218444962589</v>
      </c>
      <c r="J864" s="16" t="n">
        <f aca="false">I864/E864</f>
        <v>0.131322016898684</v>
      </c>
      <c r="K864" s="17" t="str">
        <f aca="false">TEXT(A864,"dddd")</f>
        <v>Tuesday</v>
      </c>
      <c r="L864" s="17" t="str">
        <f aca="false">IF(AND(A864&gt;=DATE(2014,9,24),A864&lt;=DATE(2014,10,6)),"Promo 1",IF(AND(A864&gt;=DATE(2014,9,10),A864&lt;=DATE(2014,9,23)),"Baseline 1",IF(AND(A864&gt;=DATE(2015,9,23),A864&lt;=DATE(2015,10,6)),"Promo 2",IF(AND(A864&gt;=DATE(2015,9,9),A864&lt;=DATE(2015,9,22)),"Baseline 2",IF(AND(A864&gt;=DATE(2016,6,23),A864&lt;=DATE(2016,7,6)),"Promo 3",IF(AND(A864&gt;=DATE(2016,6,9),A864&lt;=DATE(2016,6,22)),"Baseline 3","Other"))))))</f>
        <v>Other</v>
      </c>
    </row>
    <row r="865" customFormat="false" ht="15" hidden="false" customHeight="true" outlineLevel="0" collapsed="false">
      <c r="A865" s="12" t="n">
        <v>42501</v>
      </c>
      <c r="B865" s="13" t="n">
        <v>35014.3994811303</v>
      </c>
      <c r="C865" s="13" t="n">
        <v>30393.7401198165</v>
      </c>
      <c r="D865" s="14" t="n">
        <v>832</v>
      </c>
      <c r="E865" s="15" t="n">
        <f aca="false">B865/D865</f>
        <v>42.0846147609739</v>
      </c>
      <c r="F865" s="15" t="n">
        <f aca="false">C865/D865</f>
        <v>36.5309376440102</v>
      </c>
      <c r="G865" s="13" t="n">
        <f aca="false">B865-C865</f>
        <v>4620.6593613138</v>
      </c>
      <c r="H865" s="16" t="n">
        <f aca="false">G865/B865</f>
        <v>0.131964546866038</v>
      </c>
      <c r="I865" s="15" t="n">
        <f aca="false">G865/D865</f>
        <v>5.5536771169637</v>
      </c>
      <c r="J865" s="16" t="n">
        <f aca="false">I865/E865</f>
        <v>0.131964546866038</v>
      </c>
      <c r="K865" s="17" t="str">
        <f aca="false">TEXT(A865,"dddd")</f>
        <v>Wednesday</v>
      </c>
      <c r="L865" s="17" t="str">
        <f aca="false">IF(AND(A865&gt;=DATE(2014,9,24),A865&lt;=DATE(2014,10,6)),"Promo 1",IF(AND(A865&gt;=DATE(2014,9,10),A865&lt;=DATE(2014,9,23)),"Baseline 1",IF(AND(A865&gt;=DATE(2015,9,23),A865&lt;=DATE(2015,10,6)),"Promo 2",IF(AND(A865&gt;=DATE(2015,9,9),A865&lt;=DATE(2015,9,22)),"Baseline 2",IF(AND(A865&gt;=DATE(2016,6,23),A865&lt;=DATE(2016,7,6)),"Promo 3",IF(AND(A865&gt;=DATE(2016,6,9),A865&lt;=DATE(2016,6,22)),"Baseline 3","Other"))))))</f>
        <v>Other</v>
      </c>
    </row>
    <row r="866" customFormat="false" ht="15" hidden="false" customHeight="true" outlineLevel="0" collapsed="false">
      <c r="A866" s="12" t="n">
        <v>42502</v>
      </c>
      <c r="B866" s="13" t="n">
        <v>27210.4066316401</v>
      </c>
      <c r="C866" s="13" t="n">
        <v>23570.1591554175</v>
      </c>
      <c r="D866" s="14" t="n">
        <v>647</v>
      </c>
      <c r="E866" s="15" t="n">
        <f aca="false">B866/D866</f>
        <v>42.0562699097992</v>
      </c>
      <c r="F866" s="15" t="n">
        <f aca="false">C866/D866</f>
        <v>36.4299214148648</v>
      </c>
      <c r="G866" s="13" t="n">
        <f aca="false">B866-C866</f>
        <v>3640.2474762226</v>
      </c>
      <c r="H866" s="16" t="n">
        <f aca="false">G866/B866</f>
        <v>0.133781443456627</v>
      </c>
      <c r="I866" s="15" t="n">
        <f aca="false">G866/D866</f>
        <v>5.62634849493447</v>
      </c>
      <c r="J866" s="16" t="n">
        <f aca="false">I866/E866</f>
        <v>0.133781443456627</v>
      </c>
      <c r="K866" s="17" t="str">
        <f aca="false">TEXT(A866,"dddd")</f>
        <v>Thursday</v>
      </c>
      <c r="L866" s="17" t="str">
        <f aca="false">IF(AND(A866&gt;=DATE(2014,9,24),A866&lt;=DATE(2014,10,6)),"Promo 1",IF(AND(A866&gt;=DATE(2014,9,10),A866&lt;=DATE(2014,9,23)),"Baseline 1",IF(AND(A866&gt;=DATE(2015,9,23),A866&lt;=DATE(2015,10,6)),"Promo 2",IF(AND(A866&gt;=DATE(2015,9,9),A866&lt;=DATE(2015,9,22)),"Baseline 2",IF(AND(A866&gt;=DATE(2016,6,23),A866&lt;=DATE(2016,7,6)),"Promo 3",IF(AND(A866&gt;=DATE(2016,6,9),A866&lt;=DATE(2016,6,22)),"Baseline 3","Other"))))))</f>
        <v>Other</v>
      </c>
    </row>
    <row r="867" customFormat="false" ht="15" hidden="false" customHeight="true" outlineLevel="0" collapsed="false">
      <c r="A867" s="12" t="n">
        <v>42503</v>
      </c>
      <c r="B867" s="13" t="n">
        <v>79840.0882456494</v>
      </c>
      <c r="C867" s="13" t="n">
        <v>69078.7141445426</v>
      </c>
      <c r="D867" s="14" t="n">
        <v>1898</v>
      </c>
      <c r="E867" s="15" t="n">
        <f aca="false">B867/D867</f>
        <v>42.0653784223653</v>
      </c>
      <c r="F867" s="15" t="n">
        <f aca="false">C867/D867</f>
        <v>36.3955290540267</v>
      </c>
      <c r="G867" s="13" t="n">
        <f aca="false">B867-C867</f>
        <v>10761.3741011068</v>
      </c>
      <c r="H867" s="16" t="n">
        <f aca="false">G867/B867</f>
        <v>0.134786600786269</v>
      </c>
      <c r="I867" s="15" t="n">
        <f aca="false">G867/D867</f>
        <v>5.66984936833868</v>
      </c>
      <c r="J867" s="16" t="n">
        <f aca="false">I867/E867</f>
        <v>0.134786600786269</v>
      </c>
      <c r="K867" s="17" t="str">
        <f aca="false">TEXT(A867,"dddd")</f>
        <v>Friday</v>
      </c>
      <c r="L867" s="17" t="str">
        <f aca="false">IF(AND(A867&gt;=DATE(2014,9,24),A867&lt;=DATE(2014,10,6)),"Promo 1",IF(AND(A867&gt;=DATE(2014,9,10),A867&lt;=DATE(2014,9,23)),"Baseline 1",IF(AND(A867&gt;=DATE(2015,9,23),A867&lt;=DATE(2015,10,6)),"Promo 2",IF(AND(A867&gt;=DATE(2015,9,9),A867&lt;=DATE(2015,9,22)),"Baseline 2",IF(AND(A867&gt;=DATE(2016,6,23),A867&lt;=DATE(2016,7,6)),"Promo 3",IF(AND(A867&gt;=DATE(2016,6,9),A867&lt;=DATE(2016,6,22)),"Baseline 3","Other"))))))</f>
        <v>Other</v>
      </c>
    </row>
    <row r="868" customFormat="false" ht="15" hidden="false" customHeight="true" outlineLevel="0" collapsed="false">
      <c r="A868" s="12" t="n">
        <v>42504</v>
      </c>
      <c r="B868" s="13" t="n">
        <v>82484.4482920492</v>
      </c>
      <c r="C868" s="13" t="n">
        <v>71426.0116447103</v>
      </c>
      <c r="D868" s="14" t="n">
        <v>1961</v>
      </c>
      <c r="E868" s="15" t="n">
        <f aca="false">B868/D868</f>
        <v>42.0624417603515</v>
      </c>
      <c r="F868" s="15" t="n">
        <f aca="false">C868/D868</f>
        <v>36.4232593802704</v>
      </c>
      <c r="G868" s="13" t="n">
        <f aca="false">B868-C868</f>
        <v>11058.4366473389</v>
      </c>
      <c r="H868" s="16" t="n">
        <f aca="false">G868/B868</f>
        <v>0.134066928691634</v>
      </c>
      <c r="I868" s="15" t="n">
        <f aca="false">G868/D868</f>
        <v>5.63918238008103</v>
      </c>
      <c r="J868" s="16" t="n">
        <f aca="false">I868/E868</f>
        <v>0.134066928691634</v>
      </c>
      <c r="K868" s="17" t="str">
        <f aca="false">TEXT(A868,"dddd")</f>
        <v>Saturday</v>
      </c>
      <c r="L868" s="17" t="str">
        <f aca="false">IF(AND(A868&gt;=DATE(2014,9,24),A868&lt;=DATE(2014,10,6)),"Promo 1",IF(AND(A868&gt;=DATE(2014,9,10),A868&lt;=DATE(2014,9,23)),"Baseline 1",IF(AND(A868&gt;=DATE(2015,9,23),A868&lt;=DATE(2015,10,6)),"Promo 2",IF(AND(A868&gt;=DATE(2015,9,9),A868&lt;=DATE(2015,9,22)),"Baseline 2",IF(AND(A868&gt;=DATE(2016,6,23),A868&lt;=DATE(2016,7,6)),"Promo 3",IF(AND(A868&gt;=DATE(2016,6,9),A868&lt;=DATE(2016,6,22)),"Baseline 3","Other"))))))</f>
        <v>Other</v>
      </c>
    </row>
    <row r="869" customFormat="false" ht="15" hidden="false" customHeight="true" outlineLevel="0" collapsed="false">
      <c r="A869" s="12" t="n">
        <v>42505</v>
      </c>
      <c r="B869" s="13" t="n">
        <v>51497.23733643</v>
      </c>
      <c r="C869" s="13" t="n">
        <v>44611.9396795098</v>
      </c>
      <c r="D869" s="14" t="n">
        <v>1224</v>
      </c>
      <c r="E869" s="15" t="n">
        <f aca="false">B869/D869</f>
        <v>42.0729063206127</v>
      </c>
      <c r="F869" s="15" t="n">
        <f aca="false">C869/D869</f>
        <v>36.4476631368544</v>
      </c>
      <c r="G869" s="13" t="n">
        <f aca="false">B869-C869</f>
        <v>6885.2976569202</v>
      </c>
      <c r="H869" s="16" t="n">
        <f aca="false">G869/B869</f>
        <v>0.133702272452768</v>
      </c>
      <c r="I869" s="15" t="n">
        <f aca="false">G869/D869</f>
        <v>5.62524318375833</v>
      </c>
      <c r="J869" s="16" t="n">
        <f aca="false">I869/E869</f>
        <v>0.133702272452768</v>
      </c>
      <c r="K869" s="17" t="str">
        <f aca="false">TEXT(A869,"dddd")</f>
        <v>Sunday</v>
      </c>
      <c r="L869" s="17" t="str">
        <f aca="false">IF(AND(A869&gt;=DATE(2014,9,24),A869&lt;=DATE(2014,10,6)),"Promo 1",IF(AND(A869&gt;=DATE(2014,9,10),A869&lt;=DATE(2014,9,23)),"Baseline 1",IF(AND(A869&gt;=DATE(2015,9,23),A869&lt;=DATE(2015,10,6)),"Promo 2",IF(AND(A869&gt;=DATE(2015,9,9),A869&lt;=DATE(2015,9,22)),"Baseline 2",IF(AND(A869&gt;=DATE(2016,6,23),A869&lt;=DATE(2016,7,6)),"Promo 3",IF(AND(A869&gt;=DATE(2016,6,9),A869&lt;=DATE(2016,6,22)),"Baseline 3","Other"))))))</f>
        <v>Other</v>
      </c>
    </row>
    <row r="870" customFormat="false" ht="15" hidden="false" customHeight="true" outlineLevel="0" collapsed="false">
      <c r="A870" s="12" t="n">
        <v>42506</v>
      </c>
      <c r="B870" s="13" t="n">
        <v>42871.8328668004</v>
      </c>
      <c r="C870" s="13" t="n">
        <v>37139.3082568899</v>
      </c>
      <c r="D870" s="14" t="n">
        <v>1019</v>
      </c>
      <c r="E870" s="15" t="n">
        <f aca="false">B870/D870</f>
        <v>42.072456199019</v>
      </c>
      <c r="F870" s="15" t="n">
        <f aca="false">C870/D870</f>
        <v>36.4468187015603</v>
      </c>
      <c r="G870" s="13" t="n">
        <f aca="false">B870-C870</f>
        <v>5732.52460991051</v>
      </c>
      <c r="H870" s="16" t="n">
        <f aca="false">G870/B870</f>
        <v>0.133713075149389</v>
      </c>
      <c r="I870" s="15" t="n">
        <f aca="false">G870/D870</f>
        <v>5.62563749745879</v>
      </c>
      <c r="J870" s="16" t="n">
        <f aca="false">I870/E870</f>
        <v>0.133713075149389</v>
      </c>
      <c r="K870" s="17" t="str">
        <f aca="false">TEXT(A870,"dddd")</f>
        <v>Monday</v>
      </c>
      <c r="L870" s="17" t="str">
        <f aca="false">IF(AND(A870&gt;=DATE(2014,9,24),A870&lt;=DATE(2014,10,6)),"Promo 1",IF(AND(A870&gt;=DATE(2014,9,10),A870&lt;=DATE(2014,9,23)),"Baseline 1",IF(AND(A870&gt;=DATE(2015,9,23),A870&lt;=DATE(2015,10,6)),"Promo 2",IF(AND(A870&gt;=DATE(2015,9,9),A870&lt;=DATE(2015,9,22)),"Baseline 2",IF(AND(A870&gt;=DATE(2016,6,23),A870&lt;=DATE(2016,7,6)),"Promo 3",IF(AND(A870&gt;=DATE(2016,6,9),A870&lt;=DATE(2016,6,22)),"Baseline 3","Other"))))))</f>
        <v>Other</v>
      </c>
    </row>
    <row r="871" customFormat="false" ht="15" hidden="false" customHeight="true" outlineLevel="0" collapsed="false">
      <c r="A871" s="12" t="n">
        <v>42507</v>
      </c>
      <c r="B871" s="13" t="n">
        <v>39104.6391024603</v>
      </c>
      <c r="C871" s="13" t="n">
        <v>33890.3604324963</v>
      </c>
      <c r="D871" s="14" t="n">
        <v>930</v>
      </c>
      <c r="E871" s="15" t="n">
        <f aca="false">B871/D871</f>
        <v>42.0479990349036</v>
      </c>
      <c r="F871" s="15" t="n">
        <f aca="false">C871/D871</f>
        <v>36.4412477768777</v>
      </c>
      <c r="G871" s="13" t="n">
        <f aca="false">B871-C871</f>
        <v>5214.278669964</v>
      </c>
      <c r="H871" s="16" t="n">
        <f aca="false">G871/B871</f>
        <v>0.133341690133024</v>
      </c>
      <c r="I871" s="15" t="n">
        <f aca="false">G871/D871</f>
        <v>5.6067512580258</v>
      </c>
      <c r="J871" s="16" t="n">
        <f aca="false">I871/E871</f>
        <v>0.133341690133024</v>
      </c>
      <c r="K871" s="17" t="str">
        <f aca="false">TEXT(A871,"dddd")</f>
        <v>Tuesday</v>
      </c>
      <c r="L871" s="17" t="str">
        <f aca="false">IF(AND(A871&gt;=DATE(2014,9,24),A871&lt;=DATE(2014,10,6)),"Promo 1",IF(AND(A871&gt;=DATE(2014,9,10),A871&lt;=DATE(2014,9,23)),"Baseline 1",IF(AND(A871&gt;=DATE(2015,9,23),A871&lt;=DATE(2015,10,6)),"Promo 2",IF(AND(A871&gt;=DATE(2015,9,9),A871&lt;=DATE(2015,9,22)),"Baseline 2",IF(AND(A871&gt;=DATE(2016,6,23),A871&lt;=DATE(2016,7,6)),"Promo 3",IF(AND(A871&gt;=DATE(2016,6,9),A871&lt;=DATE(2016,6,22)),"Baseline 3","Other"))))))</f>
        <v>Other</v>
      </c>
    </row>
    <row r="872" customFormat="false" ht="15" hidden="false" customHeight="true" outlineLevel="0" collapsed="false">
      <c r="A872" s="12" t="n">
        <v>42508</v>
      </c>
      <c r="B872" s="13" t="n">
        <v>34406.7500057102</v>
      </c>
      <c r="C872" s="13" t="n">
        <v>29884.3305893676</v>
      </c>
      <c r="D872" s="14" t="n">
        <v>818</v>
      </c>
      <c r="E872" s="15" t="n">
        <f aca="false">B872/D872</f>
        <v>42.0620415717729</v>
      </c>
      <c r="F872" s="15" t="n">
        <f aca="false">C872/D872</f>
        <v>36.5334114784445</v>
      </c>
      <c r="G872" s="13" t="n">
        <f aca="false">B872-C872</f>
        <v>4522.4194163426</v>
      </c>
      <c r="H872" s="16" t="n">
        <f aca="false">G872/B872</f>
        <v>0.131439889428442</v>
      </c>
      <c r="I872" s="15" t="n">
        <f aca="false">G872/D872</f>
        <v>5.52863009332836</v>
      </c>
      <c r="J872" s="16" t="n">
        <f aca="false">I872/E872</f>
        <v>0.131439889428442</v>
      </c>
      <c r="K872" s="17" t="str">
        <f aca="false">TEXT(A872,"dddd")</f>
        <v>Wednesday</v>
      </c>
      <c r="L872" s="17" t="str">
        <f aca="false">IF(AND(A872&gt;=DATE(2014,9,24),A872&lt;=DATE(2014,10,6)),"Promo 1",IF(AND(A872&gt;=DATE(2014,9,10),A872&lt;=DATE(2014,9,23)),"Baseline 1",IF(AND(A872&gt;=DATE(2015,9,23),A872&lt;=DATE(2015,10,6)),"Promo 2",IF(AND(A872&gt;=DATE(2015,9,9),A872&lt;=DATE(2015,9,22)),"Baseline 2",IF(AND(A872&gt;=DATE(2016,6,23),A872&lt;=DATE(2016,7,6)),"Promo 3",IF(AND(A872&gt;=DATE(2016,6,9),A872&lt;=DATE(2016,6,22)),"Baseline 3","Other"))))))</f>
        <v>Other</v>
      </c>
    </row>
    <row r="873" customFormat="false" ht="15" hidden="false" customHeight="true" outlineLevel="0" collapsed="false">
      <c r="A873" s="12" t="n">
        <v>42509</v>
      </c>
      <c r="B873" s="13" t="n">
        <v>39403.6585603503</v>
      </c>
      <c r="C873" s="13" t="n">
        <v>34229.6319157985</v>
      </c>
      <c r="D873" s="14" t="n">
        <v>937</v>
      </c>
      <c r="E873" s="15" t="n">
        <f aca="false">B873/D873</f>
        <v>42.0529973963184</v>
      </c>
      <c r="F873" s="15" t="n">
        <f aca="false">C873/D873</f>
        <v>36.5310906251852</v>
      </c>
      <c r="G873" s="13" t="n">
        <f aca="false">B873-C873</f>
        <v>5174.0266445518</v>
      </c>
      <c r="H873" s="16" t="n">
        <f aca="false">G873/B873</f>
        <v>0.13130828033715</v>
      </c>
      <c r="I873" s="15" t="n">
        <f aca="false">G873/D873</f>
        <v>5.52190677113319</v>
      </c>
      <c r="J873" s="16" t="n">
        <f aca="false">I873/E873</f>
        <v>0.13130828033715</v>
      </c>
      <c r="K873" s="17" t="str">
        <f aca="false">TEXT(A873,"dddd")</f>
        <v>Thursday</v>
      </c>
      <c r="L873" s="17" t="str">
        <f aca="false">IF(AND(A873&gt;=DATE(2014,9,24),A873&lt;=DATE(2014,10,6)),"Promo 1",IF(AND(A873&gt;=DATE(2014,9,10),A873&lt;=DATE(2014,9,23)),"Baseline 1",IF(AND(A873&gt;=DATE(2015,9,23),A873&lt;=DATE(2015,10,6)),"Promo 2",IF(AND(A873&gt;=DATE(2015,9,9),A873&lt;=DATE(2015,9,22)),"Baseline 2",IF(AND(A873&gt;=DATE(2016,6,23),A873&lt;=DATE(2016,7,6)),"Promo 3",IF(AND(A873&gt;=DATE(2016,6,9),A873&lt;=DATE(2016,6,22)),"Baseline 3","Other"))))))</f>
        <v>Other</v>
      </c>
    </row>
    <row r="874" customFormat="false" ht="15" hidden="false" customHeight="true" outlineLevel="0" collapsed="false">
      <c r="A874" s="12" t="n">
        <v>42510</v>
      </c>
      <c r="B874" s="13" t="n">
        <v>96830.9024237384</v>
      </c>
      <c r="C874" s="13" t="n">
        <v>83926.0034988347</v>
      </c>
      <c r="D874" s="14" t="n">
        <v>2302</v>
      </c>
      <c r="E874" s="15" t="n">
        <f aca="false">B874/D874</f>
        <v>42.0638151276014</v>
      </c>
      <c r="F874" s="15" t="n">
        <f aca="false">C874/D874</f>
        <v>36.4578642479734</v>
      </c>
      <c r="G874" s="13" t="n">
        <f aca="false">B874-C874</f>
        <v>12904.8989249037</v>
      </c>
      <c r="H874" s="16" t="n">
        <f aca="false">G874/B874</f>
        <v>0.133272525628554</v>
      </c>
      <c r="I874" s="15" t="n">
        <f aca="false">G874/D874</f>
        <v>5.60595087962802</v>
      </c>
      <c r="J874" s="16" t="n">
        <f aca="false">I874/E874</f>
        <v>0.133272525628554</v>
      </c>
      <c r="K874" s="17" t="str">
        <f aca="false">TEXT(A874,"dddd")</f>
        <v>Friday</v>
      </c>
      <c r="L874" s="17" t="str">
        <f aca="false">IF(AND(A874&gt;=DATE(2014,9,24),A874&lt;=DATE(2014,10,6)),"Promo 1",IF(AND(A874&gt;=DATE(2014,9,10),A874&lt;=DATE(2014,9,23)),"Baseline 1",IF(AND(A874&gt;=DATE(2015,9,23),A874&lt;=DATE(2015,10,6)),"Promo 2",IF(AND(A874&gt;=DATE(2015,9,9),A874&lt;=DATE(2015,9,22)),"Baseline 2",IF(AND(A874&gt;=DATE(2016,6,23),A874&lt;=DATE(2016,7,6)),"Promo 3",IF(AND(A874&gt;=DATE(2016,6,9),A874&lt;=DATE(2016,6,22)),"Baseline 3","Other"))))))</f>
        <v>Other</v>
      </c>
    </row>
    <row r="875" customFormat="false" ht="15" hidden="false" customHeight="true" outlineLevel="0" collapsed="false">
      <c r="A875" s="12" t="n">
        <v>42511</v>
      </c>
      <c r="B875" s="13" t="n">
        <v>99380.3945973283</v>
      </c>
      <c r="C875" s="13" t="n">
        <v>86179.5133871843</v>
      </c>
      <c r="D875" s="14" t="n">
        <v>2363</v>
      </c>
      <c r="E875" s="15" t="n">
        <f aca="false">B875/D875</f>
        <v>42.0568745650987</v>
      </c>
      <c r="F875" s="15" t="n">
        <f aca="false">C875/D875</f>
        <v>36.4703823051986</v>
      </c>
      <c r="G875" s="13" t="n">
        <f aca="false">B875-C875</f>
        <v>13200.881210144</v>
      </c>
      <c r="H875" s="16" t="n">
        <f aca="false">G875/B875</f>
        <v>0.132831845391957</v>
      </c>
      <c r="I875" s="15" t="n">
        <f aca="false">G875/D875</f>
        <v>5.58649225990013</v>
      </c>
      <c r="J875" s="16" t="n">
        <f aca="false">I875/E875</f>
        <v>0.132831845391957</v>
      </c>
      <c r="K875" s="17" t="str">
        <f aca="false">TEXT(A875,"dddd")</f>
        <v>Saturday</v>
      </c>
      <c r="L875" s="17" t="str">
        <f aca="false">IF(AND(A875&gt;=DATE(2014,9,24),A875&lt;=DATE(2014,10,6)),"Promo 1",IF(AND(A875&gt;=DATE(2014,9,10),A875&lt;=DATE(2014,9,23)),"Baseline 1",IF(AND(A875&gt;=DATE(2015,9,23),A875&lt;=DATE(2015,10,6)),"Promo 2",IF(AND(A875&gt;=DATE(2015,9,9),A875&lt;=DATE(2015,9,22)),"Baseline 2",IF(AND(A875&gt;=DATE(2016,6,23),A875&lt;=DATE(2016,7,6)),"Promo 3",IF(AND(A875&gt;=DATE(2016,6,9),A875&lt;=DATE(2016,6,22)),"Baseline 3","Other"))))))</f>
        <v>Other</v>
      </c>
    </row>
    <row r="876" customFormat="false" ht="15" hidden="false" customHeight="true" outlineLevel="0" collapsed="false">
      <c r="A876" s="12" t="n">
        <v>42512</v>
      </c>
      <c r="B876" s="13" t="n">
        <v>61656.1813340698</v>
      </c>
      <c r="C876" s="13" t="n">
        <v>53463.7345578351</v>
      </c>
      <c r="D876" s="14" t="n">
        <v>1466</v>
      </c>
      <c r="E876" s="15" t="n">
        <f aca="false">B876/D876</f>
        <v>42.0574224652591</v>
      </c>
      <c r="F876" s="15" t="n">
        <f aca="false">C876/D876</f>
        <v>36.4691231635983</v>
      </c>
      <c r="G876" s="13" t="n">
        <f aca="false">B876-C876</f>
        <v>8192.4467762347</v>
      </c>
      <c r="H876" s="16" t="n">
        <f aca="false">G876/B876</f>
        <v>0.132873080994845</v>
      </c>
      <c r="I876" s="15" t="n">
        <f aca="false">G876/D876</f>
        <v>5.58829930166078</v>
      </c>
      <c r="J876" s="16" t="n">
        <f aca="false">I876/E876</f>
        <v>0.132873080994845</v>
      </c>
      <c r="K876" s="17" t="str">
        <f aca="false">TEXT(A876,"dddd")</f>
        <v>Sunday</v>
      </c>
      <c r="L876" s="17" t="str">
        <f aca="false">IF(AND(A876&gt;=DATE(2014,9,24),A876&lt;=DATE(2014,10,6)),"Promo 1",IF(AND(A876&gt;=DATE(2014,9,10),A876&lt;=DATE(2014,9,23)),"Baseline 1",IF(AND(A876&gt;=DATE(2015,9,23),A876&lt;=DATE(2015,10,6)),"Promo 2",IF(AND(A876&gt;=DATE(2015,9,9),A876&lt;=DATE(2015,9,22)),"Baseline 2",IF(AND(A876&gt;=DATE(2016,6,23),A876&lt;=DATE(2016,7,6)),"Promo 3",IF(AND(A876&gt;=DATE(2016,6,9),A876&lt;=DATE(2016,6,22)),"Baseline 3","Other"))))))</f>
        <v>Other</v>
      </c>
    </row>
    <row r="877" customFormat="false" ht="15" hidden="false" customHeight="true" outlineLevel="0" collapsed="false">
      <c r="A877" s="12" t="n">
        <v>42513</v>
      </c>
      <c r="B877" s="13" t="n">
        <v>69163.5573655795</v>
      </c>
      <c r="C877" s="13" t="n">
        <v>59948.4387075355</v>
      </c>
      <c r="D877" s="14" t="n">
        <v>1644</v>
      </c>
      <c r="E877" s="15" t="n">
        <f aca="false">B877/D877</f>
        <v>42.0702903683574</v>
      </c>
      <c r="F877" s="15" t="n">
        <f aca="false">C877/D877</f>
        <v>36.4649870483793</v>
      </c>
      <c r="G877" s="13" t="n">
        <f aca="false">B877-C877</f>
        <v>9215.118658044</v>
      </c>
      <c r="H877" s="16" t="n">
        <f aca="false">G877/B877</f>
        <v>0.133236620686461</v>
      </c>
      <c r="I877" s="15" t="n">
        <f aca="false">G877/D877</f>
        <v>5.60530331997811</v>
      </c>
      <c r="J877" s="16" t="n">
        <f aca="false">I877/E877</f>
        <v>0.133236620686461</v>
      </c>
      <c r="K877" s="17" t="str">
        <f aca="false">TEXT(A877,"dddd")</f>
        <v>Monday</v>
      </c>
      <c r="L877" s="17" t="str">
        <f aca="false">IF(AND(A877&gt;=DATE(2014,9,24),A877&lt;=DATE(2014,10,6)),"Promo 1",IF(AND(A877&gt;=DATE(2014,9,10),A877&lt;=DATE(2014,9,23)),"Baseline 1",IF(AND(A877&gt;=DATE(2015,9,23),A877&lt;=DATE(2015,10,6)),"Promo 2",IF(AND(A877&gt;=DATE(2015,9,9),A877&lt;=DATE(2015,9,22)),"Baseline 2",IF(AND(A877&gt;=DATE(2016,6,23),A877&lt;=DATE(2016,7,6)),"Promo 3",IF(AND(A877&gt;=DATE(2016,6,9),A877&lt;=DATE(2016,6,22)),"Baseline 3","Other"))))))</f>
        <v>Other</v>
      </c>
    </row>
    <row r="878" customFormat="false" ht="15" hidden="false" customHeight="true" outlineLevel="0" collapsed="false">
      <c r="A878" s="12" t="n">
        <v>42514</v>
      </c>
      <c r="B878" s="13" t="n">
        <v>113112.86502111</v>
      </c>
      <c r="C878" s="13" t="n">
        <v>117414.698929685</v>
      </c>
      <c r="D878" s="14" t="n">
        <v>3224</v>
      </c>
      <c r="E878" s="15" t="n">
        <f aca="false">B878/D878</f>
        <v>35.0846355524535</v>
      </c>
      <c r="F878" s="15" t="n">
        <f aca="false">C878/D878</f>
        <v>36.4189512809197</v>
      </c>
      <c r="G878" s="13" t="n">
        <f aca="false">B878-C878</f>
        <v>-4301.83390857499</v>
      </c>
      <c r="H878" s="16" t="n">
        <f aca="false">G878/B878</f>
        <v>-0.0380313407124128</v>
      </c>
      <c r="I878" s="15" t="n">
        <f aca="false">G878/D878</f>
        <v>-1.33431572846619</v>
      </c>
      <c r="J878" s="16" t="n">
        <f aca="false">I878/E878</f>
        <v>-0.0380313407124128</v>
      </c>
      <c r="K878" s="17" t="str">
        <f aca="false">TEXT(A878,"dddd")</f>
        <v>Tuesday</v>
      </c>
      <c r="L878" s="17" t="str">
        <f aca="false">IF(AND(A878&gt;=DATE(2014,9,24),A878&lt;=DATE(2014,10,6)),"Promo 1",IF(AND(A878&gt;=DATE(2014,9,10),A878&lt;=DATE(2014,9,23)),"Baseline 1",IF(AND(A878&gt;=DATE(2015,9,23),A878&lt;=DATE(2015,10,6)),"Promo 2",IF(AND(A878&gt;=DATE(2015,9,9),A878&lt;=DATE(2015,9,22)),"Baseline 2",IF(AND(A878&gt;=DATE(2016,6,23),A878&lt;=DATE(2016,7,6)),"Promo 3",IF(AND(A878&gt;=DATE(2016,6,9),A878&lt;=DATE(2016,6,22)),"Baseline 3","Other"))))))</f>
        <v>Other</v>
      </c>
    </row>
    <row r="879" customFormat="false" ht="15" hidden="false" customHeight="true" outlineLevel="0" collapsed="false">
      <c r="A879" s="12" t="n">
        <v>42515</v>
      </c>
      <c r="B879" s="13" t="n">
        <v>253686.302453586</v>
      </c>
      <c r="C879" s="13" t="n">
        <v>268974.570693965</v>
      </c>
      <c r="D879" s="14" t="n">
        <v>7392</v>
      </c>
      <c r="E879" s="15" t="n">
        <f aca="false">B879/D879</f>
        <v>34.3190344228336</v>
      </c>
      <c r="F879" s="15" t="n">
        <f aca="false">C879/D879</f>
        <v>36.3872525289455</v>
      </c>
      <c r="G879" s="13" t="n">
        <f aca="false">B879-C879</f>
        <v>-15288.268240379</v>
      </c>
      <c r="H879" s="16" t="n">
        <f aca="false">G879/B879</f>
        <v>-0.0602644608420517</v>
      </c>
      <c r="I879" s="15" t="n">
        <f aca="false">G879/D879</f>
        <v>-2.06821810611188</v>
      </c>
      <c r="J879" s="16" t="n">
        <f aca="false">I879/E879</f>
        <v>-0.0602644608420517</v>
      </c>
      <c r="K879" s="17" t="str">
        <f aca="false">TEXT(A879,"dddd")</f>
        <v>Wednesday</v>
      </c>
      <c r="L879" s="17" t="str">
        <f aca="false">IF(AND(A879&gt;=DATE(2014,9,24),A879&lt;=DATE(2014,10,6)),"Promo 1",IF(AND(A879&gt;=DATE(2014,9,10),A879&lt;=DATE(2014,9,23)),"Baseline 1",IF(AND(A879&gt;=DATE(2015,9,23),A879&lt;=DATE(2015,10,6)),"Promo 2",IF(AND(A879&gt;=DATE(2015,9,9),A879&lt;=DATE(2015,9,22)),"Baseline 2",IF(AND(A879&gt;=DATE(2016,6,23),A879&lt;=DATE(2016,7,6)),"Promo 3",IF(AND(A879&gt;=DATE(2016,6,9),A879&lt;=DATE(2016,6,22)),"Baseline 3","Other"))))))</f>
        <v>Other</v>
      </c>
    </row>
    <row r="880" customFormat="false" ht="15" hidden="false" customHeight="true" outlineLevel="0" collapsed="false">
      <c r="A880" s="12" t="n">
        <v>42516</v>
      </c>
      <c r="B880" s="13" t="n">
        <v>210305.291944036</v>
      </c>
      <c r="C880" s="13" t="n">
        <v>223289.084573855</v>
      </c>
      <c r="D880" s="14" t="n">
        <v>6138</v>
      </c>
      <c r="E880" s="15" t="n">
        <f aca="false">B880/D880</f>
        <v>34.2628367455256</v>
      </c>
      <c r="F880" s="15" t="n">
        <f aca="false">C880/D880</f>
        <v>36.3781499794485</v>
      </c>
      <c r="G880" s="13" t="n">
        <f aca="false">B880-C880</f>
        <v>-12983.792629819</v>
      </c>
      <c r="H880" s="16" t="n">
        <f aca="false">G880/B880</f>
        <v>-0.0617378312728056</v>
      </c>
      <c r="I880" s="15" t="n">
        <f aca="false">G880/D880</f>
        <v>-2.11531323392294</v>
      </c>
      <c r="J880" s="16" t="n">
        <f aca="false">I880/E880</f>
        <v>-0.0617378312728056</v>
      </c>
      <c r="K880" s="17" t="str">
        <f aca="false">TEXT(A880,"dddd")</f>
        <v>Thursday</v>
      </c>
      <c r="L880" s="17" t="str">
        <f aca="false">IF(AND(A880&gt;=DATE(2014,9,24),A880&lt;=DATE(2014,10,6)),"Promo 1",IF(AND(A880&gt;=DATE(2014,9,10),A880&lt;=DATE(2014,9,23)),"Baseline 1",IF(AND(A880&gt;=DATE(2015,9,23),A880&lt;=DATE(2015,10,6)),"Promo 2",IF(AND(A880&gt;=DATE(2015,9,9),A880&lt;=DATE(2015,9,22)),"Baseline 2",IF(AND(A880&gt;=DATE(2016,6,23),A880&lt;=DATE(2016,7,6)),"Promo 3",IF(AND(A880&gt;=DATE(2016,6,9),A880&lt;=DATE(2016,6,22)),"Baseline 3","Other"))))))</f>
        <v>Other</v>
      </c>
    </row>
    <row r="881" customFormat="false" ht="15" hidden="false" customHeight="true" outlineLevel="0" collapsed="false">
      <c r="A881" s="12" t="n">
        <v>42517</v>
      </c>
      <c r="B881" s="13" t="n">
        <v>364087.424299931</v>
      </c>
      <c r="C881" s="13" t="n">
        <v>386499.896429187</v>
      </c>
      <c r="D881" s="14" t="n">
        <v>10624</v>
      </c>
      <c r="E881" s="15" t="n">
        <f aca="false">B881/D881</f>
        <v>34.2702771366652</v>
      </c>
      <c r="F881" s="15" t="n">
        <f aca="false">C881/D881</f>
        <v>36.3798848295545</v>
      </c>
      <c r="G881" s="13" t="n">
        <f aca="false">B881-C881</f>
        <v>-22412.472129256</v>
      </c>
      <c r="H881" s="16" t="n">
        <f aca="false">G881/B881</f>
        <v>-0.0615579408499231</v>
      </c>
      <c r="I881" s="15" t="n">
        <f aca="false">G881/D881</f>
        <v>-2.10960769288931</v>
      </c>
      <c r="J881" s="16" t="n">
        <f aca="false">I881/E881</f>
        <v>-0.0615579408499231</v>
      </c>
      <c r="K881" s="17" t="str">
        <f aca="false">TEXT(A881,"dddd")</f>
        <v>Friday</v>
      </c>
      <c r="L881" s="17" t="str">
        <f aca="false">IF(AND(A881&gt;=DATE(2014,9,24),A881&lt;=DATE(2014,10,6)),"Promo 1",IF(AND(A881&gt;=DATE(2014,9,10),A881&lt;=DATE(2014,9,23)),"Baseline 1",IF(AND(A881&gt;=DATE(2015,9,23),A881&lt;=DATE(2015,10,6)),"Promo 2",IF(AND(A881&gt;=DATE(2015,9,9),A881&lt;=DATE(2015,9,22)),"Baseline 2",IF(AND(A881&gt;=DATE(2016,6,23),A881&lt;=DATE(2016,7,6)),"Promo 3",IF(AND(A881&gt;=DATE(2016,6,9),A881&lt;=DATE(2016,6,22)),"Baseline 3","Other"))))))</f>
        <v>Other</v>
      </c>
    </row>
    <row r="882" customFormat="false" ht="15" hidden="false" customHeight="true" outlineLevel="0" collapsed="false">
      <c r="A882" s="12" t="n">
        <v>42518</v>
      </c>
      <c r="B882" s="13" t="n">
        <v>397480.369474526</v>
      </c>
      <c r="C882" s="13" t="n">
        <v>421674.101869765</v>
      </c>
      <c r="D882" s="14" t="n">
        <v>11590</v>
      </c>
      <c r="E882" s="15" t="n">
        <f aca="false">B882/D882</f>
        <v>34.295113845947</v>
      </c>
      <c r="F882" s="15" t="n">
        <f aca="false">C882/D882</f>
        <v>36.3825799715069</v>
      </c>
      <c r="G882" s="13" t="n">
        <f aca="false">B882-C882</f>
        <v>-24193.732395239</v>
      </c>
      <c r="H882" s="16" t="n">
        <f aca="false">G882/B882</f>
        <v>-0.0608677415370812</v>
      </c>
      <c r="I882" s="15" t="n">
        <f aca="false">G882/D882</f>
        <v>-2.08746612555988</v>
      </c>
      <c r="J882" s="16" t="n">
        <f aca="false">I882/E882</f>
        <v>-0.0608677415370812</v>
      </c>
      <c r="K882" s="17" t="str">
        <f aca="false">TEXT(A882,"dddd")</f>
        <v>Saturday</v>
      </c>
      <c r="L882" s="17" t="str">
        <f aca="false">IF(AND(A882&gt;=DATE(2014,9,24),A882&lt;=DATE(2014,10,6)),"Promo 1",IF(AND(A882&gt;=DATE(2014,9,10),A882&lt;=DATE(2014,9,23)),"Baseline 1",IF(AND(A882&gt;=DATE(2015,9,23),A882&lt;=DATE(2015,10,6)),"Promo 2",IF(AND(A882&gt;=DATE(2015,9,9),A882&lt;=DATE(2015,9,22)),"Baseline 2",IF(AND(A882&gt;=DATE(2016,6,23),A882&lt;=DATE(2016,7,6)),"Promo 3",IF(AND(A882&gt;=DATE(2016,6,9),A882&lt;=DATE(2016,6,22)),"Baseline 3","Other"))))))</f>
        <v>Other</v>
      </c>
    </row>
    <row r="883" customFormat="false" ht="15" hidden="false" customHeight="true" outlineLevel="0" collapsed="false">
      <c r="A883" s="12" t="n">
        <v>42519</v>
      </c>
      <c r="B883" s="13" t="n">
        <v>204028.176757352</v>
      </c>
      <c r="C883" s="13" t="n">
        <v>216777.315725664</v>
      </c>
      <c r="D883" s="14" t="n">
        <v>5959</v>
      </c>
      <c r="E883" s="15" t="n">
        <f aca="false">B883/D883</f>
        <v>34.238660304976</v>
      </c>
      <c r="F883" s="15" t="n">
        <f aca="false">C883/D883</f>
        <v>36.3781365540634</v>
      </c>
      <c r="G883" s="13" t="n">
        <f aca="false">B883-C883</f>
        <v>-12749.138968312</v>
      </c>
      <c r="H883" s="16" t="n">
        <f aca="false">G883/B883</f>
        <v>-0.0624871484465324</v>
      </c>
      <c r="I883" s="15" t="n">
        <f aca="false">G883/D883</f>
        <v>-2.13947624908743</v>
      </c>
      <c r="J883" s="16" t="n">
        <f aca="false">I883/E883</f>
        <v>-0.0624871484465324</v>
      </c>
      <c r="K883" s="17" t="str">
        <f aca="false">TEXT(A883,"dddd")</f>
        <v>Sunday</v>
      </c>
      <c r="L883" s="17" t="str">
        <f aca="false">IF(AND(A883&gt;=DATE(2014,9,24),A883&lt;=DATE(2014,10,6)),"Promo 1",IF(AND(A883&gt;=DATE(2014,9,10),A883&lt;=DATE(2014,9,23)),"Baseline 1",IF(AND(A883&gt;=DATE(2015,9,23),A883&lt;=DATE(2015,10,6)),"Promo 2",IF(AND(A883&gt;=DATE(2015,9,9),A883&lt;=DATE(2015,9,22)),"Baseline 2",IF(AND(A883&gt;=DATE(2016,6,23),A883&lt;=DATE(2016,7,6)),"Promo 3",IF(AND(A883&gt;=DATE(2016,6,9),A883&lt;=DATE(2016,6,22)),"Baseline 3","Other"))))))</f>
        <v>Other</v>
      </c>
    </row>
    <row r="884" customFormat="false" ht="15" hidden="false" customHeight="true" outlineLevel="0" collapsed="false">
      <c r="A884" s="12" t="n">
        <v>42520</v>
      </c>
      <c r="B884" s="13" t="n">
        <v>172797.935134466</v>
      </c>
      <c r="C884" s="13" t="n">
        <v>183715.807199508</v>
      </c>
      <c r="D884" s="14" t="n">
        <v>5048</v>
      </c>
      <c r="E884" s="15" t="n">
        <f aca="false">B884/D884</f>
        <v>34.2309697176042</v>
      </c>
      <c r="F884" s="15" t="n">
        <f aca="false">C884/D884</f>
        <v>36.3937811409485</v>
      </c>
      <c r="G884" s="13" t="n">
        <f aca="false">B884-C884</f>
        <v>-10917.872065042</v>
      </c>
      <c r="H884" s="16" t="n">
        <f aca="false">G884/B884</f>
        <v>-0.0631828850069652</v>
      </c>
      <c r="I884" s="15" t="n">
        <f aca="false">G884/D884</f>
        <v>-2.16281142334429</v>
      </c>
      <c r="J884" s="16" t="n">
        <f aca="false">I884/E884</f>
        <v>-0.0631828850069652</v>
      </c>
      <c r="K884" s="17" t="str">
        <f aca="false">TEXT(A884,"dddd")</f>
        <v>Monday</v>
      </c>
      <c r="L884" s="17" t="str">
        <f aca="false">IF(AND(A884&gt;=DATE(2014,9,24),A884&lt;=DATE(2014,10,6)),"Promo 1",IF(AND(A884&gt;=DATE(2014,9,10),A884&lt;=DATE(2014,9,23)),"Baseline 1",IF(AND(A884&gt;=DATE(2015,9,23),A884&lt;=DATE(2015,10,6)),"Promo 2",IF(AND(A884&gt;=DATE(2015,9,9),A884&lt;=DATE(2015,9,22)),"Baseline 2",IF(AND(A884&gt;=DATE(2016,6,23),A884&lt;=DATE(2016,7,6)),"Promo 3",IF(AND(A884&gt;=DATE(2016,6,9),A884&lt;=DATE(2016,6,22)),"Baseline 3","Other"))))))</f>
        <v>Other</v>
      </c>
    </row>
    <row r="885" customFormat="false" ht="15" hidden="false" customHeight="true" outlineLevel="0" collapsed="false">
      <c r="A885" s="12" t="n">
        <v>42521</v>
      </c>
      <c r="B885" s="13" t="n">
        <v>258970.654110185</v>
      </c>
      <c r="C885" s="13" t="n">
        <v>274386.015434771</v>
      </c>
      <c r="D885" s="14" t="n">
        <v>7542</v>
      </c>
      <c r="E885" s="15" t="n">
        <f aca="false">B885/D885</f>
        <v>34.3371326054342</v>
      </c>
      <c r="F885" s="15" t="n">
        <f aca="false">C885/D885</f>
        <v>36.3810680767397</v>
      </c>
      <c r="G885" s="13" t="n">
        <f aca="false">B885-C885</f>
        <v>-15415.361324586</v>
      </c>
      <c r="H885" s="16" t="n">
        <f aca="false">G885/B885</f>
        <v>-0.0595255141071977</v>
      </c>
      <c r="I885" s="15" t="n">
        <f aca="false">G885/D885</f>
        <v>-2.04393547130549</v>
      </c>
      <c r="J885" s="16" t="n">
        <f aca="false">I885/E885</f>
        <v>-0.0595255141071977</v>
      </c>
      <c r="K885" s="17" t="str">
        <f aca="false">TEXT(A885,"dddd")</f>
        <v>Tuesday</v>
      </c>
      <c r="L885" s="17" t="str">
        <f aca="false">IF(AND(A885&gt;=DATE(2014,9,24),A885&lt;=DATE(2014,10,6)),"Promo 1",IF(AND(A885&gt;=DATE(2014,9,10),A885&lt;=DATE(2014,9,23)),"Baseline 1",IF(AND(A885&gt;=DATE(2015,9,23),A885&lt;=DATE(2015,10,6)),"Promo 2",IF(AND(A885&gt;=DATE(2015,9,9),A885&lt;=DATE(2015,9,22)),"Baseline 2",IF(AND(A885&gt;=DATE(2016,6,23),A885&lt;=DATE(2016,7,6)),"Promo 3",IF(AND(A885&gt;=DATE(2016,6,9),A885&lt;=DATE(2016,6,22)),"Baseline 3","Other"))))))</f>
        <v>Other</v>
      </c>
    </row>
    <row r="886" customFormat="false" ht="15" hidden="false" customHeight="true" outlineLevel="0" collapsed="false">
      <c r="A886" s="12" t="n">
        <v>42522</v>
      </c>
      <c r="B886" s="13" t="n">
        <v>368789.572621971</v>
      </c>
      <c r="C886" s="13" t="n">
        <v>391923.659614292</v>
      </c>
      <c r="D886" s="14" t="n">
        <v>10761</v>
      </c>
      <c r="E886" s="15" t="n">
        <f aca="false">B886/D886</f>
        <v>34.2709388181369</v>
      </c>
      <c r="F886" s="15" t="n">
        <f aca="false">C886/D886</f>
        <v>36.4207471066157</v>
      </c>
      <c r="G886" s="13" t="n">
        <f aca="false">B886-C886</f>
        <v>-23134.086992321</v>
      </c>
      <c r="H886" s="16" t="n">
        <f aca="false">G886/B886</f>
        <v>-0.062729775215295</v>
      </c>
      <c r="I886" s="15" t="n">
        <f aca="false">G886/D886</f>
        <v>-2.14980828847885</v>
      </c>
      <c r="J886" s="16" t="n">
        <f aca="false">I886/E886</f>
        <v>-0.062729775215295</v>
      </c>
      <c r="K886" s="17" t="str">
        <f aca="false">TEXT(A886,"dddd")</f>
        <v>Wednesday</v>
      </c>
      <c r="L886" s="17" t="str">
        <f aca="false">IF(AND(A886&gt;=DATE(2014,9,24),A886&lt;=DATE(2014,10,6)),"Promo 1",IF(AND(A886&gt;=DATE(2014,9,10),A886&lt;=DATE(2014,9,23)),"Baseline 1",IF(AND(A886&gt;=DATE(2015,9,23),A886&lt;=DATE(2015,10,6)),"Promo 2",IF(AND(A886&gt;=DATE(2015,9,9),A886&lt;=DATE(2015,9,22)),"Baseline 2",IF(AND(A886&gt;=DATE(2016,6,23),A886&lt;=DATE(2016,7,6)),"Promo 3",IF(AND(A886&gt;=DATE(2016,6,9),A886&lt;=DATE(2016,6,22)),"Baseline 3","Other"))))))</f>
        <v>Other</v>
      </c>
    </row>
    <row r="887" customFormat="false" ht="15" hidden="false" customHeight="true" outlineLevel="0" collapsed="false">
      <c r="A887" s="12" t="n">
        <v>42523</v>
      </c>
      <c r="B887" s="13" t="n">
        <v>278071.386569246</v>
      </c>
      <c r="C887" s="13" t="n">
        <v>295548.241640903</v>
      </c>
      <c r="D887" s="14" t="n">
        <v>8120</v>
      </c>
      <c r="E887" s="15" t="n">
        <f aca="false">B887/D887</f>
        <v>34.245244651385</v>
      </c>
      <c r="F887" s="15" t="n">
        <f aca="false">C887/D887</f>
        <v>36.3975667045447</v>
      </c>
      <c r="G887" s="13" t="n">
        <f aca="false">B887-C887</f>
        <v>-17476.855071657</v>
      </c>
      <c r="H887" s="16" t="n">
        <f aca="false">G887/B887</f>
        <v>-0.0628502460727108</v>
      </c>
      <c r="I887" s="15" t="n">
        <f aca="false">G887/D887</f>
        <v>-2.15232205315973</v>
      </c>
      <c r="J887" s="16" t="n">
        <f aca="false">I887/E887</f>
        <v>-0.0628502460727108</v>
      </c>
      <c r="K887" s="17" t="str">
        <f aca="false">TEXT(A887,"dddd")</f>
        <v>Thursday</v>
      </c>
      <c r="L887" s="17" t="str">
        <f aca="false">IF(AND(A887&gt;=DATE(2014,9,24),A887&lt;=DATE(2014,10,6)),"Promo 1",IF(AND(A887&gt;=DATE(2014,9,10),A887&lt;=DATE(2014,9,23)),"Baseline 1",IF(AND(A887&gt;=DATE(2015,9,23),A887&lt;=DATE(2015,10,6)),"Promo 2",IF(AND(A887&gt;=DATE(2015,9,9),A887&lt;=DATE(2015,9,22)),"Baseline 2",IF(AND(A887&gt;=DATE(2016,6,23),A887&lt;=DATE(2016,7,6)),"Promo 3",IF(AND(A887&gt;=DATE(2016,6,9),A887&lt;=DATE(2016,6,22)),"Baseline 3","Other"))))))</f>
        <v>Other</v>
      </c>
    </row>
    <row r="888" customFormat="false" ht="15" hidden="false" customHeight="true" outlineLevel="0" collapsed="false">
      <c r="A888" s="12" t="n">
        <v>42524</v>
      </c>
      <c r="B888" s="13" t="n">
        <v>373959.362039227</v>
      </c>
      <c r="C888" s="13" t="n">
        <v>396324.17866627</v>
      </c>
      <c r="D888" s="14" t="n">
        <v>10896</v>
      </c>
      <c r="E888" s="15" t="n">
        <f aca="false">B888/D888</f>
        <v>34.3207931386956</v>
      </c>
      <c r="F888" s="15" t="n">
        <f aca="false">C888/D888</f>
        <v>36.3733644150395</v>
      </c>
      <c r="G888" s="13" t="n">
        <f aca="false">B888-C888</f>
        <v>-22364.816627043</v>
      </c>
      <c r="H888" s="16" t="n">
        <f aca="false">G888/B888</f>
        <v>-0.059805473260747</v>
      </c>
      <c r="I888" s="15" t="n">
        <f aca="false">G888/D888</f>
        <v>-2.05257127634389</v>
      </c>
      <c r="J888" s="16" t="n">
        <f aca="false">I888/E888</f>
        <v>-0.059805473260747</v>
      </c>
      <c r="K888" s="17" t="str">
        <f aca="false">TEXT(A888,"dddd")</f>
        <v>Friday</v>
      </c>
      <c r="L888" s="17" t="str">
        <f aca="false">IF(AND(A888&gt;=DATE(2014,9,24),A888&lt;=DATE(2014,10,6)),"Promo 1",IF(AND(A888&gt;=DATE(2014,9,10),A888&lt;=DATE(2014,9,23)),"Baseline 1",IF(AND(A888&gt;=DATE(2015,9,23),A888&lt;=DATE(2015,10,6)),"Promo 2",IF(AND(A888&gt;=DATE(2015,9,9),A888&lt;=DATE(2015,9,22)),"Baseline 2",IF(AND(A888&gt;=DATE(2016,6,23),A888&lt;=DATE(2016,7,6)),"Promo 3",IF(AND(A888&gt;=DATE(2016,6,9),A888&lt;=DATE(2016,6,22)),"Baseline 3","Other"))))))</f>
        <v>Other</v>
      </c>
    </row>
    <row r="889" customFormat="false" ht="15" hidden="false" customHeight="true" outlineLevel="0" collapsed="false">
      <c r="A889" s="12" t="n">
        <v>42525</v>
      </c>
      <c r="B889" s="13" t="n">
        <v>402057.252888536</v>
      </c>
      <c r="C889" s="13" t="n">
        <v>426466.132176591</v>
      </c>
      <c r="D889" s="14" t="n">
        <v>11726</v>
      </c>
      <c r="E889" s="15" t="n">
        <f aca="false">B889/D889</f>
        <v>34.2876729394965</v>
      </c>
      <c r="F889" s="15" t="n">
        <f aca="false">C889/D889</f>
        <v>36.3692761535554</v>
      </c>
      <c r="G889" s="13" t="n">
        <f aca="false">B889-C889</f>
        <v>-24408.879288055</v>
      </c>
      <c r="H889" s="16" t="n">
        <f aca="false">G889/B889</f>
        <v>-0.0607099588744939</v>
      </c>
      <c r="I889" s="15" t="n">
        <f aca="false">G889/D889</f>
        <v>-2.08160321405893</v>
      </c>
      <c r="J889" s="16" t="n">
        <f aca="false">I889/E889</f>
        <v>-0.0607099588744939</v>
      </c>
      <c r="K889" s="17" t="str">
        <f aca="false">TEXT(A889,"dddd")</f>
        <v>Saturday</v>
      </c>
      <c r="L889" s="17" t="str">
        <f aca="false">IF(AND(A889&gt;=DATE(2014,9,24),A889&lt;=DATE(2014,10,6)),"Promo 1",IF(AND(A889&gt;=DATE(2014,9,10),A889&lt;=DATE(2014,9,23)),"Baseline 1",IF(AND(A889&gt;=DATE(2015,9,23),A889&lt;=DATE(2015,10,6)),"Promo 2",IF(AND(A889&gt;=DATE(2015,9,9),A889&lt;=DATE(2015,9,22)),"Baseline 2",IF(AND(A889&gt;=DATE(2016,6,23),A889&lt;=DATE(2016,7,6)),"Promo 3",IF(AND(A889&gt;=DATE(2016,6,9),A889&lt;=DATE(2016,6,22)),"Baseline 3","Other"))))))</f>
        <v>Other</v>
      </c>
    </row>
    <row r="890" customFormat="false" ht="15" hidden="false" customHeight="true" outlineLevel="0" collapsed="false">
      <c r="A890" s="12" t="n">
        <v>42526</v>
      </c>
      <c r="B890" s="13" t="n">
        <v>205719.453235816</v>
      </c>
      <c r="C890" s="13" t="n">
        <v>218408.182073276</v>
      </c>
      <c r="D890" s="14" t="n">
        <v>6007</v>
      </c>
      <c r="E890" s="15" t="n">
        <f aca="false">B890/D890</f>
        <v>34.2466211479634</v>
      </c>
      <c r="F890" s="15" t="n">
        <f aca="false">C890/D890</f>
        <v>36.3589449098179</v>
      </c>
      <c r="G890" s="13" t="n">
        <f aca="false">B890-C890</f>
        <v>-12688.72883746</v>
      </c>
      <c r="H890" s="16" t="n">
        <f aca="false">G890/B890</f>
        <v>-0.0616797713481909</v>
      </c>
      <c r="I890" s="15" t="n">
        <f aca="false">G890/D890</f>
        <v>-2.1123237618545</v>
      </c>
      <c r="J890" s="16" t="n">
        <f aca="false">I890/E890</f>
        <v>-0.0616797713481909</v>
      </c>
      <c r="K890" s="17" t="str">
        <f aca="false">TEXT(A890,"dddd")</f>
        <v>Sunday</v>
      </c>
      <c r="L890" s="17" t="str">
        <f aca="false">IF(AND(A890&gt;=DATE(2014,9,24),A890&lt;=DATE(2014,10,6)),"Promo 1",IF(AND(A890&gt;=DATE(2014,9,10),A890&lt;=DATE(2014,9,23)),"Baseline 1",IF(AND(A890&gt;=DATE(2015,9,23),A890&lt;=DATE(2015,10,6)),"Promo 2",IF(AND(A890&gt;=DATE(2015,9,9),A890&lt;=DATE(2015,9,22)),"Baseline 2",IF(AND(A890&gt;=DATE(2016,6,23),A890&lt;=DATE(2016,7,6)),"Promo 3",IF(AND(A890&gt;=DATE(2016,6,9),A890&lt;=DATE(2016,6,22)),"Baseline 3","Other"))))))</f>
        <v>Other</v>
      </c>
    </row>
    <row r="891" customFormat="false" ht="15" hidden="false" customHeight="true" outlineLevel="0" collapsed="false">
      <c r="A891" s="12" t="n">
        <v>42527</v>
      </c>
      <c r="B891" s="13" t="n">
        <v>177626.950124486</v>
      </c>
      <c r="C891" s="13" t="n">
        <v>188629.754225902</v>
      </c>
      <c r="D891" s="14" t="n">
        <v>5185</v>
      </c>
      <c r="E891" s="15" t="n">
        <f aca="false">B891/D891</f>
        <v>34.2578495900648</v>
      </c>
      <c r="F891" s="15" t="n">
        <f aca="false">C891/D891</f>
        <v>36.3798947398075</v>
      </c>
      <c r="G891" s="13" t="n">
        <f aca="false">B891-C891</f>
        <v>-11002.804101416</v>
      </c>
      <c r="H891" s="16" t="n">
        <f aca="false">G891/B891</f>
        <v>-0.0619433261321265</v>
      </c>
      <c r="I891" s="15" t="n">
        <f aca="false">G891/D891</f>
        <v>-2.12204514974272</v>
      </c>
      <c r="J891" s="16" t="n">
        <f aca="false">I891/E891</f>
        <v>-0.0619433261321265</v>
      </c>
      <c r="K891" s="17" t="str">
        <f aca="false">TEXT(A891,"dddd")</f>
        <v>Monday</v>
      </c>
      <c r="L891" s="17" t="str">
        <f aca="false">IF(AND(A891&gt;=DATE(2014,9,24),A891&lt;=DATE(2014,10,6)),"Promo 1",IF(AND(A891&gt;=DATE(2014,9,10),A891&lt;=DATE(2014,9,23)),"Baseline 1",IF(AND(A891&gt;=DATE(2015,9,23),A891&lt;=DATE(2015,10,6)),"Promo 2",IF(AND(A891&gt;=DATE(2015,9,9),A891&lt;=DATE(2015,9,22)),"Baseline 2",IF(AND(A891&gt;=DATE(2016,6,23),A891&lt;=DATE(2016,7,6)),"Promo 3",IF(AND(A891&gt;=DATE(2016,6,9),A891&lt;=DATE(2016,6,22)),"Baseline 3","Other"))))))</f>
        <v>Other</v>
      </c>
    </row>
    <row r="892" customFormat="false" ht="15" hidden="false" customHeight="true" outlineLevel="0" collapsed="false">
      <c r="A892" s="12" t="n">
        <v>42528</v>
      </c>
      <c r="B892" s="13" t="n">
        <v>70441.9074122394</v>
      </c>
      <c r="C892" s="13" t="n">
        <v>60910.7484001802</v>
      </c>
      <c r="D892" s="14" t="n">
        <v>1675</v>
      </c>
      <c r="E892" s="15" t="n">
        <f aca="false">B892/D892</f>
        <v>42.0548700968593</v>
      </c>
      <c r="F892" s="15" t="n">
        <f aca="false">C892/D892</f>
        <v>36.3646259105554</v>
      </c>
      <c r="G892" s="13" t="n">
        <f aca="false">B892-C892</f>
        <v>9531.15901205919</v>
      </c>
      <c r="H892" s="16" t="n">
        <f aca="false">G892/B892</f>
        <v>0.135305237495644</v>
      </c>
      <c r="I892" s="15" t="n">
        <f aca="false">G892/D892</f>
        <v>5.690244186304</v>
      </c>
      <c r="J892" s="16" t="n">
        <f aca="false">I892/E892</f>
        <v>0.135305237495644</v>
      </c>
      <c r="K892" s="17" t="str">
        <f aca="false">TEXT(A892,"dddd")</f>
        <v>Tuesday</v>
      </c>
      <c r="L892" s="17" t="str">
        <f aca="false">IF(AND(A892&gt;=DATE(2014,9,24),A892&lt;=DATE(2014,10,6)),"Promo 1",IF(AND(A892&gt;=DATE(2014,9,10),A892&lt;=DATE(2014,9,23)),"Baseline 1",IF(AND(A892&gt;=DATE(2015,9,23),A892&lt;=DATE(2015,10,6)),"Promo 2",IF(AND(A892&gt;=DATE(2015,9,9),A892&lt;=DATE(2015,9,22)),"Baseline 2",IF(AND(A892&gt;=DATE(2016,6,23),A892&lt;=DATE(2016,7,6)),"Promo 3",IF(AND(A892&gt;=DATE(2016,6,9),A892&lt;=DATE(2016,6,22)),"Baseline 3","Other"))))))</f>
        <v>Other</v>
      </c>
    </row>
    <row r="893" customFormat="false" ht="15" hidden="false" customHeight="true" outlineLevel="0" collapsed="false">
      <c r="A893" s="12" t="n">
        <v>42529</v>
      </c>
      <c r="B893" s="13" t="n">
        <v>162923.8495807</v>
      </c>
      <c r="C893" s="13" t="n">
        <v>173292.681134454</v>
      </c>
      <c r="D893" s="14" t="n">
        <v>4765</v>
      </c>
      <c r="E893" s="15" t="n">
        <f aca="false">B893/D893</f>
        <v>34.1917837525079</v>
      </c>
      <c r="F893" s="15" t="n">
        <f aca="false">C893/D893</f>
        <v>36.3678239526661</v>
      </c>
      <c r="G893" s="13" t="n">
        <f aca="false">B893-C893</f>
        <v>-10368.831553754</v>
      </c>
      <c r="H893" s="16" t="n">
        <f aca="false">G893/B893</f>
        <v>-0.0636421959120114</v>
      </c>
      <c r="I893" s="15" t="n">
        <f aca="false">G893/D893</f>
        <v>-2.17604020015824</v>
      </c>
      <c r="J893" s="16" t="n">
        <f aca="false">I893/E893</f>
        <v>-0.0636421959120114</v>
      </c>
      <c r="K893" s="17" t="str">
        <f aca="false">TEXT(A893,"dddd")</f>
        <v>Wednesday</v>
      </c>
      <c r="L893" s="17" t="str">
        <f aca="false">IF(AND(A893&gt;=DATE(2014,9,24),A893&lt;=DATE(2014,10,6)),"Promo 1",IF(AND(A893&gt;=DATE(2014,9,10),A893&lt;=DATE(2014,9,23)),"Baseline 1",IF(AND(A893&gt;=DATE(2015,9,23),A893&lt;=DATE(2015,10,6)),"Promo 2",IF(AND(A893&gt;=DATE(2015,9,9),A893&lt;=DATE(2015,9,22)),"Baseline 2",IF(AND(A893&gt;=DATE(2016,6,23),A893&lt;=DATE(2016,7,6)),"Promo 3",IF(AND(A893&gt;=DATE(2016,6,9),A893&lt;=DATE(2016,6,22)),"Baseline 3","Other"))))))</f>
        <v>Other</v>
      </c>
    </row>
    <row r="894" customFormat="false" ht="15" hidden="false" customHeight="true" outlineLevel="0" collapsed="false">
      <c r="A894" s="12" t="n">
        <v>42530</v>
      </c>
      <c r="B894" s="13" t="n">
        <v>138752.527609768</v>
      </c>
      <c r="C894" s="13" t="n">
        <v>143791.478082016</v>
      </c>
      <c r="D894" s="14" t="n">
        <v>3953</v>
      </c>
      <c r="E894" s="15" t="n">
        <f aca="false">B894/D894</f>
        <v>35.1005635238472</v>
      </c>
      <c r="F894" s="15" t="n">
        <f aca="false">C894/D894</f>
        <v>36.3752790493337</v>
      </c>
      <c r="G894" s="13" t="n">
        <f aca="false">B894-C894</f>
        <v>-5038.95047224799</v>
      </c>
      <c r="H894" s="16" t="n">
        <f aca="false">G894/B894</f>
        <v>-0.0363160985897114</v>
      </c>
      <c r="I894" s="15" t="n">
        <f aca="false">G894/D894</f>
        <v>-1.27471552548646</v>
      </c>
      <c r="J894" s="16" t="n">
        <f aca="false">I894/E894</f>
        <v>-0.0363160985897114</v>
      </c>
      <c r="K894" s="17" t="str">
        <f aca="false">TEXT(A894,"dddd")</f>
        <v>Thursday</v>
      </c>
      <c r="L894" s="17" t="str">
        <f aca="false">IF(AND(A894&gt;=DATE(2014,9,24),A894&lt;=DATE(2014,10,6)),"Promo 1",IF(AND(A894&gt;=DATE(2014,9,10),A894&lt;=DATE(2014,9,23)),"Baseline 1",IF(AND(A894&gt;=DATE(2015,9,23),A894&lt;=DATE(2015,10,6)),"Promo 2",IF(AND(A894&gt;=DATE(2015,9,9),A894&lt;=DATE(2015,9,22)),"Baseline 2",IF(AND(A894&gt;=DATE(2016,6,23),A894&lt;=DATE(2016,7,6)),"Promo 3",IF(AND(A894&gt;=DATE(2016,6,9),A894&lt;=DATE(2016,6,22)),"Baseline 3","Other"))))))</f>
        <v>Baseline 3</v>
      </c>
    </row>
    <row r="895" customFormat="false" ht="15" hidden="false" customHeight="true" outlineLevel="0" collapsed="false">
      <c r="A895" s="12" t="n">
        <v>42531</v>
      </c>
      <c r="B895" s="13" t="n">
        <v>252458.262230489</v>
      </c>
      <c r="C895" s="13" t="n">
        <v>261502.381778564</v>
      </c>
      <c r="D895" s="14" t="n">
        <v>7190</v>
      </c>
      <c r="E895" s="15" t="n">
        <f aca="false">B895/D895</f>
        <v>35.1124147747551</v>
      </c>
      <c r="F895" s="15" t="n">
        <f aca="false">C895/D895</f>
        <v>36.3702895380479</v>
      </c>
      <c r="G895" s="13" t="n">
        <f aca="false">B895-C895</f>
        <v>-9044.11954807502</v>
      </c>
      <c r="H895" s="16" t="n">
        <f aca="false">G895/B895</f>
        <v>-0.0358242169147862</v>
      </c>
      <c r="I895" s="15" t="n">
        <f aca="false">G895/D895</f>
        <v>-1.25787476329277</v>
      </c>
      <c r="J895" s="16" t="n">
        <f aca="false">I895/E895</f>
        <v>-0.0358242169147862</v>
      </c>
      <c r="K895" s="17" t="str">
        <f aca="false">TEXT(A895,"dddd")</f>
        <v>Friday</v>
      </c>
      <c r="L895" s="17" t="str">
        <f aca="false">IF(AND(A895&gt;=DATE(2014,9,24),A895&lt;=DATE(2014,10,6)),"Promo 1",IF(AND(A895&gt;=DATE(2014,9,10),A895&lt;=DATE(2014,9,23)),"Baseline 1",IF(AND(A895&gt;=DATE(2015,9,23),A895&lt;=DATE(2015,10,6)),"Promo 2",IF(AND(A895&gt;=DATE(2015,9,9),A895&lt;=DATE(2015,9,22)),"Baseline 2",IF(AND(A895&gt;=DATE(2016,6,23),A895&lt;=DATE(2016,7,6)),"Promo 3",IF(AND(A895&gt;=DATE(2016,6,9),A895&lt;=DATE(2016,6,22)),"Baseline 3","Other"))))))</f>
        <v>Baseline 3</v>
      </c>
    </row>
    <row r="896" customFormat="false" ht="15" hidden="false" customHeight="true" outlineLevel="0" collapsed="false">
      <c r="A896" s="12" t="n">
        <v>42532</v>
      </c>
      <c r="B896" s="13" t="n">
        <v>293917.852481117</v>
      </c>
      <c r="C896" s="13" t="n">
        <v>311853.520534736</v>
      </c>
      <c r="D896" s="14" t="n">
        <v>8577</v>
      </c>
      <c r="E896" s="15" t="n">
        <f aca="false">B896/D896</f>
        <v>34.2681418306071</v>
      </c>
      <c r="F896" s="15" t="n">
        <f aca="false">C896/D896</f>
        <v>36.3592771988733</v>
      </c>
      <c r="G896" s="13" t="n">
        <f aca="false">B896-C896</f>
        <v>-17935.668053619</v>
      </c>
      <c r="H896" s="16" t="n">
        <f aca="false">G896/B896</f>
        <v>-0.0610227242143152</v>
      </c>
      <c r="I896" s="15" t="n">
        <f aca="false">G896/D896</f>
        <v>-2.09113536826618</v>
      </c>
      <c r="J896" s="16" t="n">
        <f aca="false">I896/E896</f>
        <v>-0.0610227242143152</v>
      </c>
      <c r="K896" s="17" t="str">
        <f aca="false">TEXT(A896,"dddd")</f>
        <v>Saturday</v>
      </c>
      <c r="L896" s="17" t="str">
        <f aca="false">IF(AND(A896&gt;=DATE(2014,9,24),A896&lt;=DATE(2014,10,6)),"Promo 1",IF(AND(A896&gt;=DATE(2014,9,10),A896&lt;=DATE(2014,9,23)),"Baseline 1",IF(AND(A896&gt;=DATE(2015,9,23),A896&lt;=DATE(2015,10,6)),"Promo 2",IF(AND(A896&gt;=DATE(2015,9,9),A896&lt;=DATE(2015,9,22)),"Baseline 2",IF(AND(A896&gt;=DATE(2016,6,23),A896&lt;=DATE(2016,7,6)),"Promo 3",IF(AND(A896&gt;=DATE(2016,6,9),A896&lt;=DATE(2016,6,22)),"Baseline 3","Other"))))))</f>
        <v>Baseline 3</v>
      </c>
    </row>
    <row r="897" customFormat="false" ht="15" hidden="false" customHeight="true" outlineLevel="0" collapsed="false">
      <c r="A897" s="12" t="n">
        <v>42533</v>
      </c>
      <c r="B897" s="13" t="n">
        <v>138350.121828475</v>
      </c>
      <c r="C897" s="13" t="n">
        <v>143346.674606024</v>
      </c>
      <c r="D897" s="14" t="n">
        <v>3943</v>
      </c>
      <c r="E897" s="15" t="n">
        <f aca="false">B897/D897</f>
        <v>35.0875277272318</v>
      </c>
      <c r="F897" s="15" t="n">
        <f aca="false">C897/D897</f>
        <v>36.3547234608227</v>
      </c>
      <c r="G897" s="13" t="n">
        <f aca="false">B897-C897</f>
        <v>-4996.55277754899</v>
      </c>
      <c r="H897" s="16" t="n">
        <f aca="false">G897/B897</f>
        <v>-0.03611527558858</v>
      </c>
      <c r="I897" s="15" t="n">
        <f aca="false">G897/D897</f>
        <v>-1.26719573359092</v>
      </c>
      <c r="J897" s="16" t="n">
        <f aca="false">I897/E897</f>
        <v>-0.03611527558858</v>
      </c>
      <c r="K897" s="17" t="str">
        <f aca="false">TEXT(A897,"dddd")</f>
        <v>Sunday</v>
      </c>
      <c r="L897" s="17" t="str">
        <f aca="false">IF(AND(A897&gt;=DATE(2014,9,24),A897&lt;=DATE(2014,10,6)),"Promo 1",IF(AND(A897&gt;=DATE(2014,9,10),A897&lt;=DATE(2014,9,23)),"Baseline 1",IF(AND(A897&gt;=DATE(2015,9,23),A897&lt;=DATE(2015,10,6)),"Promo 2",IF(AND(A897&gt;=DATE(2015,9,9),A897&lt;=DATE(2015,9,22)),"Baseline 2",IF(AND(A897&gt;=DATE(2016,6,23),A897&lt;=DATE(2016,7,6)),"Promo 3",IF(AND(A897&gt;=DATE(2016,6,9),A897&lt;=DATE(2016,6,22)),"Baseline 3","Other"))))))</f>
        <v>Baseline 3</v>
      </c>
    </row>
    <row r="898" customFormat="false" ht="15" hidden="false" customHeight="true" outlineLevel="0" collapsed="false">
      <c r="A898" s="12" t="n">
        <v>42534</v>
      </c>
      <c r="B898" s="13" t="n">
        <v>130067.275564196</v>
      </c>
      <c r="C898" s="13" t="n">
        <v>134950.56648943</v>
      </c>
      <c r="D898" s="14" t="n">
        <v>3707</v>
      </c>
      <c r="E898" s="15" t="n">
        <f aca="false">B898/D898</f>
        <v>35.0869370283777</v>
      </c>
      <c r="F898" s="15" t="n">
        <f aca="false">C898/D898</f>
        <v>36.4042531668276</v>
      </c>
      <c r="G898" s="13" t="n">
        <f aca="false">B898-C898</f>
        <v>-4883.290925234</v>
      </c>
      <c r="H898" s="16" t="n">
        <f aca="false">G898/B898</f>
        <v>-0.0375443469854476</v>
      </c>
      <c r="I898" s="15" t="n">
        <f aca="false">G898/D898</f>
        <v>-1.31731613844996</v>
      </c>
      <c r="J898" s="16" t="n">
        <f aca="false">I898/E898</f>
        <v>-0.0375443469854476</v>
      </c>
      <c r="K898" s="17" t="str">
        <f aca="false">TEXT(A898,"dddd")</f>
        <v>Monday</v>
      </c>
      <c r="L898" s="17" t="str">
        <f aca="false">IF(AND(A898&gt;=DATE(2014,9,24),A898&lt;=DATE(2014,10,6)),"Promo 1",IF(AND(A898&gt;=DATE(2014,9,10),A898&lt;=DATE(2014,9,23)),"Baseline 1",IF(AND(A898&gt;=DATE(2015,9,23),A898&lt;=DATE(2015,10,6)),"Promo 2",IF(AND(A898&gt;=DATE(2015,9,9),A898&lt;=DATE(2015,9,22)),"Baseline 2",IF(AND(A898&gt;=DATE(2016,6,23),A898&lt;=DATE(2016,7,6)),"Promo 3",IF(AND(A898&gt;=DATE(2016,6,9),A898&lt;=DATE(2016,6,22)),"Baseline 3","Other"))))))</f>
        <v>Baseline 3</v>
      </c>
    </row>
    <row r="899" customFormat="false" ht="15" hidden="false" customHeight="true" outlineLevel="0" collapsed="false">
      <c r="A899" s="12" t="n">
        <v>42535</v>
      </c>
      <c r="B899" s="13" t="n">
        <v>107168.661076499</v>
      </c>
      <c r="C899" s="13" t="n">
        <v>111173.158478465</v>
      </c>
      <c r="D899" s="14" t="n">
        <v>3054</v>
      </c>
      <c r="E899" s="15" t="n">
        <f aca="false">B899/D899</f>
        <v>35.0912446222983</v>
      </c>
      <c r="F899" s="15" t="n">
        <f aca="false">C899/D899</f>
        <v>36.4024749438327</v>
      </c>
      <c r="G899" s="13" t="n">
        <f aca="false">B899-C899</f>
        <v>-4004.497401966</v>
      </c>
      <c r="H899" s="16" t="n">
        <f aca="false">G899/B899</f>
        <v>-0.0373663099057244</v>
      </c>
      <c r="I899" s="15" t="n">
        <f aca="false">G899/D899</f>
        <v>-1.31123032153438</v>
      </c>
      <c r="J899" s="16" t="n">
        <f aca="false">I899/E899</f>
        <v>-0.0373663099057244</v>
      </c>
      <c r="K899" s="17" t="str">
        <f aca="false">TEXT(A899,"dddd")</f>
        <v>Tuesday</v>
      </c>
      <c r="L899" s="17" t="str">
        <f aca="false">IF(AND(A899&gt;=DATE(2014,9,24),A899&lt;=DATE(2014,10,6)),"Promo 1",IF(AND(A899&gt;=DATE(2014,9,10),A899&lt;=DATE(2014,9,23)),"Baseline 1",IF(AND(A899&gt;=DATE(2015,9,23),A899&lt;=DATE(2015,10,6)),"Promo 2",IF(AND(A899&gt;=DATE(2015,9,9),A899&lt;=DATE(2015,9,22)),"Baseline 2",IF(AND(A899&gt;=DATE(2016,6,23),A899&lt;=DATE(2016,7,6)),"Promo 3",IF(AND(A899&gt;=DATE(2016,6,9),A899&lt;=DATE(2016,6,22)),"Baseline 3","Other"))))))</f>
        <v>Baseline 3</v>
      </c>
    </row>
    <row r="900" customFormat="false" ht="15" hidden="false" customHeight="true" outlineLevel="0" collapsed="false">
      <c r="A900" s="12" t="n">
        <v>42536</v>
      </c>
      <c r="B900" s="13" t="n">
        <v>224030.554448086</v>
      </c>
      <c r="C900" s="13" t="n">
        <v>237934.734150633</v>
      </c>
      <c r="D900" s="14" t="n">
        <v>6541</v>
      </c>
      <c r="E900" s="15" t="n">
        <f aca="false">B900/D900</f>
        <v>34.2501994264006</v>
      </c>
      <c r="F900" s="15" t="n">
        <f aca="false">C900/D900</f>
        <v>36.3758957576262</v>
      </c>
      <c r="G900" s="13" t="n">
        <f aca="false">B900-C900</f>
        <v>-13904.179702547</v>
      </c>
      <c r="H900" s="16" t="n">
        <f aca="false">G900/B900</f>
        <v>-0.0620637650824052</v>
      </c>
      <c r="I900" s="15" t="n">
        <f aca="false">G900/D900</f>
        <v>-2.12569633122565</v>
      </c>
      <c r="J900" s="16" t="n">
        <f aca="false">I900/E900</f>
        <v>-0.0620637650824052</v>
      </c>
      <c r="K900" s="17" t="str">
        <f aca="false">TEXT(A900,"dddd")</f>
        <v>Wednesday</v>
      </c>
      <c r="L900" s="17" t="str">
        <f aca="false">IF(AND(A900&gt;=DATE(2014,9,24),A900&lt;=DATE(2014,10,6)),"Promo 1",IF(AND(A900&gt;=DATE(2014,9,10),A900&lt;=DATE(2014,9,23)),"Baseline 1",IF(AND(A900&gt;=DATE(2015,9,23),A900&lt;=DATE(2015,10,6)),"Promo 2",IF(AND(A900&gt;=DATE(2015,9,9),A900&lt;=DATE(2015,9,22)),"Baseline 2",IF(AND(A900&gt;=DATE(2016,6,23),A900&lt;=DATE(2016,7,6)),"Promo 3",IF(AND(A900&gt;=DATE(2016,6,9),A900&lt;=DATE(2016,6,22)),"Baseline 3","Other"))))))</f>
        <v>Baseline 3</v>
      </c>
    </row>
    <row r="901" customFormat="false" ht="15" hidden="false" customHeight="true" outlineLevel="0" collapsed="false">
      <c r="A901" s="12" t="n">
        <v>42537</v>
      </c>
      <c r="B901" s="13" t="n">
        <v>201918.222072744</v>
      </c>
      <c r="C901" s="13" t="n">
        <v>209095.569741377</v>
      </c>
      <c r="D901" s="14" t="n">
        <v>5749</v>
      </c>
      <c r="E901" s="15" t="n">
        <f aca="false">B901/D901</f>
        <v>35.1223207640884</v>
      </c>
      <c r="F901" s="15" t="n">
        <f aca="false">C901/D901</f>
        <v>36.3707722632418</v>
      </c>
      <c r="G901" s="13" t="n">
        <f aca="false">B901-C901</f>
        <v>-7177.34766863298</v>
      </c>
      <c r="H901" s="16" t="n">
        <f aca="false">G901/B901</f>
        <v>-0.0355458145132005</v>
      </c>
      <c r="I901" s="15" t="n">
        <f aca="false">G901/D901</f>
        <v>-1.24845149915341</v>
      </c>
      <c r="J901" s="16" t="n">
        <f aca="false">I901/E901</f>
        <v>-0.0355458145132005</v>
      </c>
      <c r="K901" s="17" t="str">
        <f aca="false">TEXT(A901,"dddd")</f>
        <v>Thursday</v>
      </c>
      <c r="L901" s="17" t="str">
        <f aca="false">IF(AND(A901&gt;=DATE(2014,9,24),A901&lt;=DATE(2014,10,6)),"Promo 1",IF(AND(A901&gt;=DATE(2014,9,10),A901&lt;=DATE(2014,9,23)),"Baseline 1",IF(AND(A901&gt;=DATE(2015,9,23),A901&lt;=DATE(2015,10,6)),"Promo 2",IF(AND(A901&gt;=DATE(2015,9,9),A901&lt;=DATE(2015,9,22)),"Baseline 2",IF(AND(A901&gt;=DATE(2016,6,23),A901&lt;=DATE(2016,7,6)),"Promo 3",IF(AND(A901&gt;=DATE(2016,6,9),A901&lt;=DATE(2016,6,22)),"Baseline 3","Other"))))))</f>
        <v>Baseline 3</v>
      </c>
    </row>
    <row r="902" customFormat="false" ht="15" hidden="false" customHeight="true" outlineLevel="0" collapsed="false">
      <c r="A902" s="12" t="n">
        <v>42538</v>
      </c>
      <c r="B902" s="13" t="n">
        <v>329344.268303161</v>
      </c>
      <c r="C902" s="13" t="n">
        <v>341253.329634991</v>
      </c>
      <c r="D902" s="14" t="n">
        <v>9385</v>
      </c>
      <c r="E902" s="15" t="n">
        <f aca="false">B902/D902</f>
        <v>35.0926231543059</v>
      </c>
      <c r="F902" s="15" t="n">
        <f aca="false">C902/D902</f>
        <v>36.3615694869463</v>
      </c>
      <c r="G902" s="13" t="n">
        <f aca="false">B902-C902</f>
        <v>-11909.06133183</v>
      </c>
      <c r="H902" s="16" t="n">
        <f aca="false">G902/B902</f>
        <v>-0.036159916773981</v>
      </c>
      <c r="I902" s="15" t="n">
        <f aca="false">G902/D902</f>
        <v>-1.26894633264038</v>
      </c>
      <c r="J902" s="16" t="n">
        <f aca="false">I902/E902</f>
        <v>-0.036159916773981</v>
      </c>
      <c r="K902" s="17" t="str">
        <f aca="false">TEXT(A902,"dddd")</f>
        <v>Friday</v>
      </c>
      <c r="L902" s="17" t="str">
        <f aca="false">IF(AND(A902&gt;=DATE(2014,9,24),A902&lt;=DATE(2014,10,6)),"Promo 1",IF(AND(A902&gt;=DATE(2014,9,10),A902&lt;=DATE(2014,9,23)),"Baseline 1",IF(AND(A902&gt;=DATE(2015,9,23),A902&lt;=DATE(2015,10,6)),"Promo 2",IF(AND(A902&gt;=DATE(2015,9,9),A902&lt;=DATE(2015,9,22)),"Baseline 2",IF(AND(A902&gt;=DATE(2016,6,23),A902&lt;=DATE(2016,7,6)),"Promo 3",IF(AND(A902&gt;=DATE(2016,6,9),A902&lt;=DATE(2016,6,22)),"Baseline 3","Other"))))))</f>
        <v>Baseline 3</v>
      </c>
    </row>
    <row r="903" customFormat="false" ht="15" hidden="false" customHeight="true" outlineLevel="0" collapsed="false">
      <c r="A903" s="12" t="n">
        <v>42539</v>
      </c>
      <c r="B903" s="13" t="n">
        <v>308642.977224082</v>
      </c>
      <c r="C903" s="13" t="n">
        <v>327672.041484041</v>
      </c>
      <c r="D903" s="14" t="n">
        <v>9012</v>
      </c>
      <c r="E903" s="15" t="n">
        <f aca="false">B903/D903</f>
        <v>34.248000135828</v>
      </c>
      <c r="F903" s="15" t="n">
        <f aca="false">C903/D903</f>
        <v>36.3595252423481</v>
      </c>
      <c r="G903" s="13" t="n">
        <f aca="false">B903-C903</f>
        <v>-19029.064259959</v>
      </c>
      <c r="H903" s="16" t="n">
        <f aca="false">G903/B903</f>
        <v>-0.0616539680607847</v>
      </c>
      <c r="I903" s="15" t="n">
        <f aca="false">G903/D903</f>
        <v>-2.11152510652009</v>
      </c>
      <c r="J903" s="16" t="n">
        <f aca="false">I903/E903</f>
        <v>-0.0616539680607846</v>
      </c>
      <c r="K903" s="17" t="str">
        <f aca="false">TEXT(A903,"dddd")</f>
        <v>Saturday</v>
      </c>
      <c r="L903" s="17" t="str">
        <f aca="false">IF(AND(A903&gt;=DATE(2014,9,24),A903&lt;=DATE(2014,10,6)),"Promo 1",IF(AND(A903&gt;=DATE(2014,9,10),A903&lt;=DATE(2014,9,23)),"Baseline 1",IF(AND(A903&gt;=DATE(2015,9,23),A903&lt;=DATE(2015,10,6)),"Promo 2",IF(AND(A903&gt;=DATE(2015,9,9),A903&lt;=DATE(2015,9,22)),"Baseline 2",IF(AND(A903&gt;=DATE(2016,6,23),A903&lt;=DATE(2016,7,6)),"Promo 3",IF(AND(A903&gt;=DATE(2016,6,9),A903&lt;=DATE(2016,6,22)),"Baseline 3","Other"))))))</f>
        <v>Baseline 3</v>
      </c>
    </row>
    <row r="904" customFormat="false" ht="15" hidden="false" customHeight="true" outlineLevel="0" collapsed="false">
      <c r="A904" s="12" t="n">
        <v>42540</v>
      </c>
      <c r="B904" s="13" t="n">
        <v>134472.406628276</v>
      </c>
      <c r="C904" s="13" t="n">
        <v>139385.876176807</v>
      </c>
      <c r="D904" s="14" t="n">
        <v>3831</v>
      </c>
      <c r="E904" s="15" t="n">
        <f aca="false">B904/D904</f>
        <v>35.1011241525127</v>
      </c>
      <c r="F904" s="15" t="n">
        <f aca="false">C904/D904</f>
        <v>36.3836795032125</v>
      </c>
      <c r="G904" s="13" t="n">
        <f aca="false">B904-C904</f>
        <v>-4913.46954853102</v>
      </c>
      <c r="H904" s="16" t="n">
        <f aca="false">G904/B904</f>
        <v>-0.0365388682461332</v>
      </c>
      <c r="I904" s="15" t="n">
        <f aca="false">G904/D904</f>
        <v>-1.28255535069982</v>
      </c>
      <c r="J904" s="16" t="n">
        <f aca="false">I904/E904</f>
        <v>-0.0365388682461332</v>
      </c>
      <c r="K904" s="17" t="str">
        <f aca="false">TEXT(A904,"dddd")</f>
        <v>Sunday</v>
      </c>
      <c r="L904" s="17" t="str">
        <f aca="false">IF(AND(A904&gt;=DATE(2014,9,24),A904&lt;=DATE(2014,10,6)),"Promo 1",IF(AND(A904&gt;=DATE(2014,9,10),A904&lt;=DATE(2014,9,23)),"Baseline 1",IF(AND(A904&gt;=DATE(2015,9,23),A904&lt;=DATE(2015,10,6)),"Promo 2",IF(AND(A904&gt;=DATE(2015,9,9),A904&lt;=DATE(2015,9,22)),"Baseline 2",IF(AND(A904&gt;=DATE(2016,6,23),A904&lt;=DATE(2016,7,6)),"Promo 3",IF(AND(A904&gt;=DATE(2016,6,9),A904&lt;=DATE(2016,6,22)),"Baseline 3","Other"))))))</f>
        <v>Baseline 3</v>
      </c>
    </row>
    <row r="905" customFormat="false" ht="15" hidden="false" customHeight="true" outlineLevel="0" collapsed="false">
      <c r="A905" s="12" t="n">
        <v>42541</v>
      </c>
      <c r="B905" s="13" t="n">
        <v>143809.720583966</v>
      </c>
      <c r="C905" s="13" t="n">
        <v>148953.910853215</v>
      </c>
      <c r="D905" s="14" t="n">
        <v>4097</v>
      </c>
      <c r="E905" s="15" t="n">
        <f aca="false">B905/D905</f>
        <v>35.1012254293302</v>
      </c>
      <c r="F905" s="15" t="n">
        <f aca="false">C905/D905</f>
        <v>36.3568247139895</v>
      </c>
      <c r="G905" s="13" t="n">
        <f aca="false">B905-C905</f>
        <v>-5144.190269249</v>
      </c>
      <c r="H905" s="16" t="n">
        <f aca="false">G905/B905</f>
        <v>-0.0357708105429874</v>
      </c>
      <c r="I905" s="15" t="n">
        <f aca="false">G905/D905</f>
        <v>-1.25559928465926</v>
      </c>
      <c r="J905" s="16" t="n">
        <f aca="false">I905/E905</f>
        <v>-0.0357708105429874</v>
      </c>
      <c r="K905" s="17" t="str">
        <f aca="false">TEXT(A905,"dddd")</f>
        <v>Monday</v>
      </c>
      <c r="L905" s="17" t="str">
        <f aca="false">IF(AND(A905&gt;=DATE(2014,9,24),A905&lt;=DATE(2014,10,6)),"Promo 1",IF(AND(A905&gt;=DATE(2014,9,10),A905&lt;=DATE(2014,9,23)),"Baseline 1",IF(AND(A905&gt;=DATE(2015,9,23),A905&lt;=DATE(2015,10,6)),"Promo 2",IF(AND(A905&gt;=DATE(2015,9,9),A905&lt;=DATE(2015,9,22)),"Baseline 2",IF(AND(A905&gt;=DATE(2016,6,23),A905&lt;=DATE(2016,7,6)),"Promo 3",IF(AND(A905&gt;=DATE(2016,6,9),A905&lt;=DATE(2016,6,22)),"Baseline 3","Other"))))))</f>
        <v>Baseline 3</v>
      </c>
    </row>
    <row r="906" customFormat="false" ht="15" hidden="false" customHeight="true" outlineLevel="0" collapsed="false">
      <c r="A906" s="12" t="n">
        <v>42542</v>
      </c>
      <c r="B906" s="13" t="n">
        <v>123252.151055848</v>
      </c>
      <c r="C906" s="13" t="n">
        <v>127533.009276503</v>
      </c>
      <c r="D906" s="14" t="n">
        <v>3509</v>
      </c>
      <c r="E906" s="15" t="n">
        <f aca="false">B906/D906</f>
        <v>35.1245799532197</v>
      </c>
      <c r="F906" s="15" t="n">
        <f aca="false">C906/D906</f>
        <v>36.3445452483622</v>
      </c>
      <c r="G906" s="13" t="n">
        <f aca="false">B906-C906</f>
        <v>-4280.85822065501</v>
      </c>
      <c r="H906" s="16" t="n">
        <f aca="false">G906/B906</f>
        <v>-0.0347325234000603</v>
      </c>
      <c r="I906" s="15" t="n">
        <f aca="false">G906/D906</f>
        <v>-1.21996529514249</v>
      </c>
      <c r="J906" s="16" t="n">
        <f aca="false">I906/E906</f>
        <v>-0.0347325234000603</v>
      </c>
      <c r="K906" s="17" t="str">
        <f aca="false">TEXT(A906,"dddd")</f>
        <v>Tuesday</v>
      </c>
      <c r="L906" s="17" t="str">
        <f aca="false">IF(AND(A906&gt;=DATE(2014,9,24),A906&lt;=DATE(2014,10,6)),"Promo 1",IF(AND(A906&gt;=DATE(2014,9,10),A906&lt;=DATE(2014,9,23)),"Baseline 1",IF(AND(A906&gt;=DATE(2015,9,23),A906&lt;=DATE(2015,10,6)),"Promo 2",IF(AND(A906&gt;=DATE(2015,9,9),A906&lt;=DATE(2015,9,22)),"Baseline 2",IF(AND(A906&gt;=DATE(2016,6,23),A906&lt;=DATE(2016,7,6)),"Promo 3",IF(AND(A906&gt;=DATE(2016,6,9),A906&lt;=DATE(2016,6,22)),"Baseline 3","Other"))))))</f>
        <v>Baseline 3</v>
      </c>
    </row>
    <row r="907" customFormat="false" ht="15" hidden="false" customHeight="true" outlineLevel="0" collapsed="false">
      <c r="A907" s="12" t="n">
        <v>42543</v>
      </c>
      <c r="B907" s="13" t="n">
        <v>40067.1512118602</v>
      </c>
      <c r="C907" s="13" t="n">
        <v>34559.0845226275</v>
      </c>
      <c r="D907" s="14" t="n">
        <v>953</v>
      </c>
      <c r="E907" s="15" t="n">
        <f aca="false">B907/D907</f>
        <v>42.043180704995</v>
      </c>
      <c r="F907" s="15" t="n">
        <f aca="false">C907/D907</f>
        <v>36.2634674948872</v>
      </c>
      <c r="G907" s="13" t="n">
        <f aca="false">B907-C907</f>
        <v>5508.0666892327</v>
      </c>
      <c r="H907" s="16" t="n">
        <f aca="false">G907/B907</f>
        <v>0.137470883819718</v>
      </c>
      <c r="I907" s="15" t="n">
        <f aca="false">G907/D907</f>
        <v>5.77971321010776</v>
      </c>
      <c r="J907" s="16" t="n">
        <f aca="false">I907/E907</f>
        <v>0.137470883819718</v>
      </c>
      <c r="K907" s="17" t="str">
        <f aca="false">TEXT(A907,"dddd")</f>
        <v>Wednesday</v>
      </c>
      <c r="L907" s="17" t="str">
        <f aca="false">IF(AND(A907&gt;=DATE(2014,9,24),A907&lt;=DATE(2014,10,6)),"Promo 1",IF(AND(A907&gt;=DATE(2014,9,10),A907&lt;=DATE(2014,9,23)),"Baseline 1",IF(AND(A907&gt;=DATE(2015,9,23),A907&lt;=DATE(2015,10,6)),"Promo 2",IF(AND(A907&gt;=DATE(2015,9,9),A907&lt;=DATE(2015,9,22)),"Baseline 2",IF(AND(A907&gt;=DATE(2016,6,23),A907&lt;=DATE(2016,7,6)),"Promo 3",IF(AND(A907&gt;=DATE(2016,6,9),A907&lt;=DATE(2016,6,22)),"Baseline 3","Other"))))))</f>
        <v>Baseline 3</v>
      </c>
    </row>
    <row r="908" customFormat="false" ht="15" hidden="false" customHeight="true" outlineLevel="0" collapsed="false">
      <c r="A908" s="12" t="n">
        <v>42544</v>
      </c>
      <c r="B908" s="13" t="n">
        <v>143752.736760649</v>
      </c>
      <c r="C908" s="13" t="n">
        <v>155659.533743735</v>
      </c>
      <c r="D908" s="14" t="n">
        <v>4305</v>
      </c>
      <c r="E908" s="15" t="n">
        <f aca="false">B908/D908</f>
        <v>33.3920410593842</v>
      </c>
      <c r="F908" s="15" t="n">
        <f aca="false">C908/D908</f>
        <v>36.1578475595203</v>
      </c>
      <c r="G908" s="13" t="n">
        <f aca="false">B908-C908</f>
        <v>-11906.796983086</v>
      </c>
      <c r="H908" s="16" t="n">
        <f aca="false">G908/B908</f>
        <v>-0.0828283151430435</v>
      </c>
      <c r="I908" s="15" t="n">
        <f aca="false">G908/D908</f>
        <v>-2.76580650013612</v>
      </c>
      <c r="J908" s="16" t="n">
        <f aca="false">I908/E908</f>
        <v>-0.0828283151430435</v>
      </c>
      <c r="K908" s="17" t="str">
        <f aca="false">TEXT(A908,"dddd")</f>
        <v>Thursday</v>
      </c>
      <c r="L908" s="17" t="str">
        <f aca="false">IF(AND(A908&gt;=DATE(2014,9,24),A908&lt;=DATE(2014,10,6)),"Promo 1",IF(AND(A908&gt;=DATE(2014,9,10),A908&lt;=DATE(2014,9,23)),"Baseline 1",IF(AND(A908&gt;=DATE(2015,9,23),A908&lt;=DATE(2015,10,6)),"Promo 2",IF(AND(A908&gt;=DATE(2015,9,9),A908&lt;=DATE(2015,9,22)),"Baseline 2",IF(AND(A908&gt;=DATE(2016,6,23),A908&lt;=DATE(2016,7,6)),"Promo 3",IF(AND(A908&gt;=DATE(2016,6,9),A908&lt;=DATE(2016,6,22)),"Baseline 3","Other"))))))</f>
        <v>Promo 3</v>
      </c>
    </row>
    <row r="909" customFormat="false" ht="15" hidden="false" customHeight="true" outlineLevel="0" collapsed="false">
      <c r="A909" s="12" t="n">
        <v>42545</v>
      </c>
      <c r="B909" s="13" t="n">
        <v>389904.008554663</v>
      </c>
      <c r="C909" s="13" t="n">
        <v>422372.5815807</v>
      </c>
      <c r="D909" s="14" t="n">
        <v>11667</v>
      </c>
      <c r="E909" s="15" t="n">
        <f aca="false">B909/D909</f>
        <v>33.4193887507211</v>
      </c>
      <c r="F909" s="15" t="n">
        <f aca="false">C909/D909</f>
        <v>36.2023297832091</v>
      </c>
      <c r="G909" s="13" t="n">
        <f aca="false">B909-C909</f>
        <v>-32468.573026037</v>
      </c>
      <c r="H909" s="16" t="n">
        <f aca="false">G909/B909</f>
        <v>-0.0832732475523782</v>
      </c>
      <c r="I909" s="15" t="n">
        <f aca="false">G909/D909</f>
        <v>-2.78294103248796</v>
      </c>
      <c r="J909" s="16" t="n">
        <f aca="false">I909/E909</f>
        <v>-0.0832732475523782</v>
      </c>
      <c r="K909" s="17" t="str">
        <f aca="false">TEXT(A909,"dddd")</f>
        <v>Friday</v>
      </c>
      <c r="L909" s="17" t="str">
        <f aca="false">IF(AND(A909&gt;=DATE(2014,9,24),A909&lt;=DATE(2014,10,6)),"Promo 1",IF(AND(A909&gt;=DATE(2014,9,10),A909&lt;=DATE(2014,9,23)),"Baseline 1",IF(AND(A909&gt;=DATE(2015,9,23),A909&lt;=DATE(2015,10,6)),"Promo 2",IF(AND(A909&gt;=DATE(2015,9,9),A909&lt;=DATE(2015,9,22)),"Baseline 2",IF(AND(A909&gt;=DATE(2016,6,23),A909&lt;=DATE(2016,7,6)),"Promo 3",IF(AND(A909&gt;=DATE(2016,6,9),A909&lt;=DATE(2016,6,22)),"Baseline 3","Other"))))))</f>
        <v>Promo 3</v>
      </c>
    </row>
    <row r="910" customFormat="false" ht="15" hidden="false" customHeight="true" outlineLevel="0" collapsed="false">
      <c r="A910" s="12" t="n">
        <v>42546</v>
      </c>
      <c r="B910" s="13" t="n">
        <v>461280.785582774</v>
      </c>
      <c r="C910" s="13" t="n">
        <v>498910.329020544</v>
      </c>
      <c r="D910" s="14" t="n">
        <v>13793</v>
      </c>
      <c r="E910" s="15" t="n">
        <f aca="false">B910/D910</f>
        <v>33.4431077780595</v>
      </c>
      <c r="F910" s="15" t="n">
        <f aca="false">C910/D910</f>
        <v>36.1712701385155</v>
      </c>
      <c r="G910" s="13" t="n">
        <f aca="false">B910-C910</f>
        <v>-37629.54343777</v>
      </c>
      <c r="H910" s="16" t="n">
        <f aca="false">G910/B910</f>
        <v>-0.0815762212818587</v>
      </c>
      <c r="I910" s="15" t="n">
        <f aca="false">G910/D910</f>
        <v>-2.72816236045603</v>
      </c>
      <c r="J910" s="16" t="n">
        <f aca="false">I910/E910</f>
        <v>-0.0815762212818587</v>
      </c>
      <c r="K910" s="17" t="str">
        <f aca="false">TEXT(A910,"dddd")</f>
        <v>Saturday</v>
      </c>
      <c r="L910" s="17" t="str">
        <f aca="false">IF(AND(A910&gt;=DATE(2014,9,24),A910&lt;=DATE(2014,10,6)),"Promo 1",IF(AND(A910&gt;=DATE(2014,9,10),A910&lt;=DATE(2014,9,23)),"Baseline 1",IF(AND(A910&gt;=DATE(2015,9,23),A910&lt;=DATE(2015,10,6)),"Promo 2",IF(AND(A910&gt;=DATE(2015,9,9),A910&lt;=DATE(2015,9,22)),"Baseline 2",IF(AND(A910&gt;=DATE(2016,6,23),A910&lt;=DATE(2016,7,6)),"Promo 3",IF(AND(A910&gt;=DATE(2016,6,9),A910&lt;=DATE(2016,6,22)),"Baseline 3","Other"))))))</f>
        <v>Promo 3</v>
      </c>
    </row>
    <row r="911" customFormat="false" ht="15" hidden="false" customHeight="true" outlineLevel="0" collapsed="false">
      <c r="A911" s="12" t="n">
        <v>42547</v>
      </c>
      <c r="B911" s="13" t="n">
        <v>221578.696823561</v>
      </c>
      <c r="C911" s="13" t="n">
        <v>240449.622291522</v>
      </c>
      <c r="D911" s="14" t="n">
        <v>6641</v>
      </c>
      <c r="E911" s="15" t="n">
        <f aca="false">B911/D911</f>
        <v>33.3652607775276</v>
      </c>
      <c r="F911" s="15" t="n">
        <f aca="false">C911/D911</f>
        <v>36.2068396764828</v>
      </c>
      <c r="G911" s="13" t="n">
        <f aca="false">B911-C911</f>
        <v>-18870.925467961</v>
      </c>
      <c r="H911" s="16" t="n">
        <f aca="false">G911/B911</f>
        <v>-0.0851657931853782</v>
      </c>
      <c r="I911" s="15" t="n">
        <f aca="false">G911/D911</f>
        <v>-2.84157889895513</v>
      </c>
      <c r="J911" s="16" t="n">
        <f aca="false">I911/E911</f>
        <v>-0.0851657931853782</v>
      </c>
      <c r="K911" s="17" t="str">
        <f aca="false">TEXT(A911,"dddd")</f>
        <v>Sunday</v>
      </c>
      <c r="L911" s="17" t="str">
        <f aca="false">IF(AND(A911&gt;=DATE(2014,9,24),A911&lt;=DATE(2014,10,6)),"Promo 1",IF(AND(A911&gt;=DATE(2014,9,10),A911&lt;=DATE(2014,9,23)),"Baseline 1",IF(AND(A911&gt;=DATE(2015,9,23),A911&lt;=DATE(2015,10,6)),"Promo 2",IF(AND(A911&gt;=DATE(2015,9,9),A911&lt;=DATE(2015,9,22)),"Baseline 2",IF(AND(A911&gt;=DATE(2016,6,23),A911&lt;=DATE(2016,7,6)),"Promo 3",IF(AND(A911&gt;=DATE(2016,6,9),A911&lt;=DATE(2016,6,22)),"Baseline 3","Other"))))))</f>
        <v>Promo 3</v>
      </c>
    </row>
    <row r="912" customFormat="false" ht="15" hidden="false" customHeight="true" outlineLevel="0" collapsed="false">
      <c r="A912" s="12" t="n">
        <v>42548</v>
      </c>
      <c r="B912" s="13" t="n">
        <v>253702.222976619</v>
      </c>
      <c r="C912" s="13" t="n">
        <v>274426.080277893</v>
      </c>
      <c r="D912" s="14" t="n">
        <v>7593</v>
      </c>
      <c r="E912" s="15" t="n">
        <f aca="false">B912/D912</f>
        <v>33.4126462500486</v>
      </c>
      <c r="F912" s="15" t="n">
        <f aca="false">C912/D912</f>
        <v>36.1419834423671</v>
      </c>
      <c r="G912" s="13" t="n">
        <f aca="false">B912-C912</f>
        <v>-20723.857301274</v>
      </c>
      <c r="H912" s="16" t="n">
        <f aca="false">G912/B912</f>
        <v>-0.0816857537081332</v>
      </c>
      <c r="I912" s="15" t="n">
        <f aca="false">G912/D912</f>
        <v>-2.72933719231845</v>
      </c>
      <c r="J912" s="16" t="n">
        <f aca="false">I912/E912</f>
        <v>-0.0816857537081332</v>
      </c>
      <c r="K912" s="17" t="str">
        <f aca="false">TEXT(A912,"dddd")</f>
        <v>Monday</v>
      </c>
      <c r="L912" s="17" t="str">
        <f aca="false">IF(AND(A912&gt;=DATE(2014,9,24),A912&lt;=DATE(2014,10,6)),"Promo 1",IF(AND(A912&gt;=DATE(2014,9,10),A912&lt;=DATE(2014,9,23)),"Baseline 1",IF(AND(A912&gt;=DATE(2015,9,23),A912&lt;=DATE(2015,10,6)),"Promo 2",IF(AND(A912&gt;=DATE(2015,9,9),A912&lt;=DATE(2015,9,22)),"Baseline 2",IF(AND(A912&gt;=DATE(2016,6,23),A912&lt;=DATE(2016,7,6)),"Promo 3",IF(AND(A912&gt;=DATE(2016,6,9),A912&lt;=DATE(2016,6,22)),"Baseline 3","Other"))))))</f>
        <v>Promo 3</v>
      </c>
    </row>
    <row r="913" customFormat="false" ht="15" hidden="false" customHeight="true" outlineLevel="0" collapsed="false">
      <c r="A913" s="12" t="n">
        <v>42549</v>
      </c>
      <c r="B913" s="13" t="n">
        <v>200616.076183339</v>
      </c>
      <c r="C913" s="13" t="n">
        <v>217104.579715706</v>
      </c>
      <c r="D913" s="14" t="n">
        <v>6007</v>
      </c>
      <c r="E913" s="15" t="n">
        <f aca="false">B913/D913</f>
        <v>33.3970494728382</v>
      </c>
      <c r="F913" s="15" t="n">
        <f aca="false">C913/D913</f>
        <v>36.1419310330791</v>
      </c>
      <c r="G913" s="13" t="n">
        <f aca="false">B913-C913</f>
        <v>-16488.503532367</v>
      </c>
      <c r="H913" s="16" t="n">
        <f aca="false">G913/B913</f>
        <v>-0.0821893431775552</v>
      </c>
      <c r="I913" s="15" t="n">
        <f aca="false">G913/D913</f>
        <v>-2.74488156024089</v>
      </c>
      <c r="J913" s="16" t="n">
        <f aca="false">I913/E913</f>
        <v>-0.0821893431775552</v>
      </c>
      <c r="K913" s="17" t="str">
        <f aca="false">TEXT(A913,"dddd")</f>
        <v>Tuesday</v>
      </c>
      <c r="L913" s="17" t="str">
        <f aca="false">IF(AND(A913&gt;=DATE(2014,9,24),A913&lt;=DATE(2014,10,6)),"Promo 1",IF(AND(A913&gt;=DATE(2014,9,10),A913&lt;=DATE(2014,9,23)),"Baseline 1",IF(AND(A913&gt;=DATE(2015,9,23),A913&lt;=DATE(2015,10,6)),"Promo 2",IF(AND(A913&gt;=DATE(2015,9,9),A913&lt;=DATE(2015,9,22)),"Baseline 2",IF(AND(A913&gt;=DATE(2016,6,23),A913&lt;=DATE(2016,7,6)),"Promo 3",IF(AND(A913&gt;=DATE(2016,6,9),A913&lt;=DATE(2016,6,22)),"Baseline 3","Other"))))))</f>
        <v>Promo 3</v>
      </c>
    </row>
    <row r="914" customFormat="false" ht="15" hidden="false" customHeight="true" outlineLevel="0" collapsed="false">
      <c r="A914" s="12" t="n">
        <v>42550</v>
      </c>
      <c r="B914" s="13" t="n">
        <v>211700.81315721</v>
      </c>
      <c r="C914" s="13" t="n">
        <v>229023.810739696</v>
      </c>
      <c r="D914" s="14" t="n">
        <v>6345</v>
      </c>
      <c r="E914" s="15" t="n">
        <f aca="false">B914/D914</f>
        <v>33.3649823730827</v>
      </c>
      <c r="F914" s="15" t="n">
        <f aca="false">C914/D914</f>
        <v>36.0951632371467</v>
      </c>
      <c r="G914" s="13" t="n">
        <f aca="false">B914-C914</f>
        <v>-17322.997582486</v>
      </c>
      <c r="H914" s="16" t="n">
        <f aca="false">G914/B914</f>
        <v>-0.0818277328468354</v>
      </c>
      <c r="I914" s="15" t="n">
        <f aca="false">G914/D914</f>
        <v>-2.73018086406399</v>
      </c>
      <c r="J914" s="16" t="n">
        <f aca="false">I914/E914</f>
        <v>-0.0818277328468353</v>
      </c>
      <c r="K914" s="17" t="str">
        <f aca="false">TEXT(A914,"dddd")</f>
        <v>Wednesday</v>
      </c>
      <c r="L914" s="17" t="str">
        <f aca="false">IF(AND(A914&gt;=DATE(2014,9,24),A914&lt;=DATE(2014,10,6)),"Promo 1",IF(AND(A914&gt;=DATE(2014,9,10),A914&lt;=DATE(2014,9,23)),"Baseline 1",IF(AND(A914&gt;=DATE(2015,9,23),A914&lt;=DATE(2015,10,6)),"Promo 2",IF(AND(A914&gt;=DATE(2015,9,9),A914&lt;=DATE(2015,9,22)),"Baseline 2",IF(AND(A914&gt;=DATE(2016,6,23),A914&lt;=DATE(2016,7,6)),"Promo 3",IF(AND(A914&gt;=DATE(2016,6,9),A914&lt;=DATE(2016,6,22)),"Baseline 3","Other"))))))</f>
        <v>Promo 3</v>
      </c>
    </row>
    <row r="915" customFormat="false" ht="15" hidden="false" customHeight="true" outlineLevel="0" collapsed="false">
      <c r="A915" s="12" t="n">
        <v>42551</v>
      </c>
      <c r="B915" s="13" t="n">
        <v>282757.711444598</v>
      </c>
      <c r="C915" s="13" t="n">
        <v>305894.180094824</v>
      </c>
      <c r="D915" s="14" t="n">
        <v>8482</v>
      </c>
      <c r="E915" s="15" t="n">
        <f aca="false">B915/D915</f>
        <v>33.3362074327515</v>
      </c>
      <c r="F915" s="15" t="n">
        <f aca="false">C915/D915</f>
        <v>36.0639212561688</v>
      </c>
      <c r="G915" s="13" t="n">
        <f aca="false">B915-C915</f>
        <v>-23136.468650226</v>
      </c>
      <c r="H915" s="16" t="n">
        <f aca="false">G915/B915</f>
        <v>-0.0818243595621945</v>
      </c>
      <c r="I915" s="15" t="n">
        <f aca="false">G915/D915</f>
        <v>-2.72771382341736</v>
      </c>
      <c r="J915" s="16" t="n">
        <f aca="false">I915/E915</f>
        <v>-0.0818243595621945</v>
      </c>
      <c r="K915" s="17" t="str">
        <f aca="false">TEXT(A915,"dddd")</f>
        <v>Thursday</v>
      </c>
      <c r="L915" s="17" t="str">
        <f aca="false">IF(AND(A915&gt;=DATE(2014,9,24),A915&lt;=DATE(2014,10,6)),"Promo 1",IF(AND(A915&gt;=DATE(2014,9,10),A915&lt;=DATE(2014,9,23)),"Baseline 1",IF(AND(A915&gt;=DATE(2015,9,23),A915&lt;=DATE(2015,10,6)),"Promo 2",IF(AND(A915&gt;=DATE(2015,9,9),A915&lt;=DATE(2015,9,22)),"Baseline 2",IF(AND(A915&gt;=DATE(2016,6,23),A915&lt;=DATE(2016,7,6)),"Promo 3",IF(AND(A915&gt;=DATE(2016,6,9),A915&lt;=DATE(2016,6,22)),"Baseline 3","Other"))))))</f>
        <v>Promo 3</v>
      </c>
    </row>
    <row r="916" customFormat="false" ht="15" hidden="false" customHeight="true" outlineLevel="0" collapsed="false">
      <c r="A916" s="12" t="n">
        <v>42552</v>
      </c>
      <c r="B916" s="13" t="n">
        <v>479010.156707742</v>
      </c>
      <c r="C916" s="13" t="n">
        <v>517742.192597536</v>
      </c>
      <c r="D916" s="14" t="n">
        <v>14344</v>
      </c>
      <c r="E916" s="15" t="n">
        <f aca="false">B916/D916</f>
        <v>33.3944615663512</v>
      </c>
      <c r="F916" s="15" t="n">
        <f aca="false">C916/D916</f>
        <v>36.094687158222</v>
      </c>
      <c r="G916" s="13" t="n">
        <f aca="false">B916-C916</f>
        <v>-38732.035889794</v>
      </c>
      <c r="H916" s="16" t="n">
        <f aca="false">G916/B916</f>
        <v>-0.0808584856655253</v>
      </c>
      <c r="I916" s="15" t="n">
        <f aca="false">G916/D916</f>
        <v>-2.70022559187075</v>
      </c>
      <c r="J916" s="16" t="n">
        <f aca="false">I916/E916</f>
        <v>-0.0808584856655254</v>
      </c>
      <c r="K916" s="17" t="str">
        <f aca="false">TEXT(A916,"dddd")</f>
        <v>Friday</v>
      </c>
      <c r="L916" s="17" t="str">
        <f aca="false">IF(AND(A916&gt;=DATE(2014,9,24),A916&lt;=DATE(2014,10,6)),"Promo 1",IF(AND(A916&gt;=DATE(2014,9,10),A916&lt;=DATE(2014,9,23)),"Baseline 1",IF(AND(A916&gt;=DATE(2015,9,23),A916&lt;=DATE(2015,10,6)),"Promo 2",IF(AND(A916&gt;=DATE(2015,9,9),A916&lt;=DATE(2015,9,22)),"Baseline 2",IF(AND(A916&gt;=DATE(2016,6,23),A916&lt;=DATE(2016,7,6)),"Promo 3",IF(AND(A916&gt;=DATE(2016,6,9),A916&lt;=DATE(2016,6,22)),"Baseline 3","Other"))))))</f>
        <v>Promo 3</v>
      </c>
    </row>
    <row r="917" customFormat="false" ht="15" hidden="false" customHeight="true" outlineLevel="0" collapsed="false">
      <c r="A917" s="12" t="n">
        <v>42553</v>
      </c>
      <c r="B917" s="13" t="n">
        <v>454543.285758789</v>
      </c>
      <c r="C917" s="13" t="n">
        <v>490487.024649263</v>
      </c>
      <c r="D917" s="14" t="n">
        <v>13609</v>
      </c>
      <c r="E917" s="15" t="n">
        <f aca="false">B917/D917</f>
        <v>33.4001973516635</v>
      </c>
      <c r="F917" s="15" t="n">
        <f aca="false">C917/D917</f>
        <v>36.0413714930754</v>
      </c>
      <c r="G917" s="13" t="n">
        <f aca="false">B917-C917</f>
        <v>-35943.738890474</v>
      </c>
      <c r="H917" s="16" t="n">
        <f aca="false">G917/B917</f>
        <v>-0.0790766028596629</v>
      </c>
      <c r="I917" s="15" t="n">
        <f aca="false">G917/D917</f>
        <v>-2.64117414141186</v>
      </c>
      <c r="J917" s="16" t="n">
        <f aca="false">I917/E917</f>
        <v>-0.0790766028596629</v>
      </c>
      <c r="K917" s="17" t="str">
        <f aca="false">TEXT(A917,"dddd")</f>
        <v>Saturday</v>
      </c>
      <c r="L917" s="17" t="str">
        <f aca="false">IF(AND(A917&gt;=DATE(2014,9,24),A917&lt;=DATE(2014,10,6)),"Promo 1",IF(AND(A917&gt;=DATE(2014,9,10),A917&lt;=DATE(2014,9,23)),"Baseline 1",IF(AND(A917&gt;=DATE(2015,9,23),A917&lt;=DATE(2015,10,6)),"Promo 2",IF(AND(A917&gt;=DATE(2015,9,9),A917&lt;=DATE(2015,9,22)),"Baseline 2",IF(AND(A917&gt;=DATE(2016,6,23),A917&lt;=DATE(2016,7,6)),"Promo 3",IF(AND(A917&gt;=DATE(2016,6,9),A917&lt;=DATE(2016,6,22)),"Baseline 3","Other"))))))</f>
        <v>Promo 3</v>
      </c>
    </row>
    <row r="918" customFormat="false" ht="15" hidden="false" customHeight="true" outlineLevel="0" collapsed="false">
      <c r="A918" s="12" t="n">
        <v>42554</v>
      </c>
      <c r="B918" s="13" t="n">
        <v>242185.180702578</v>
      </c>
      <c r="C918" s="13" t="n">
        <v>261534.912039247</v>
      </c>
      <c r="D918" s="14" t="n">
        <v>7259</v>
      </c>
      <c r="E918" s="15" t="n">
        <f aca="false">B918/D918</f>
        <v>33.3634358317369</v>
      </c>
      <c r="F918" s="15" t="n">
        <f aca="false">C918/D918</f>
        <v>36.0290552471755</v>
      </c>
      <c r="G918" s="13" t="n">
        <f aca="false">B918-C918</f>
        <v>-19349.731336669</v>
      </c>
      <c r="H918" s="16" t="n">
        <f aca="false">G918/B918</f>
        <v>-0.0798964299984644</v>
      </c>
      <c r="I918" s="15" t="n">
        <f aca="false">G918/D918</f>
        <v>-2.66561941543863</v>
      </c>
      <c r="J918" s="16" t="n">
        <f aca="false">I918/E918</f>
        <v>-0.0798964299984644</v>
      </c>
      <c r="K918" s="17" t="str">
        <f aca="false">TEXT(A918,"dddd")</f>
        <v>Sunday</v>
      </c>
      <c r="L918" s="17" t="str">
        <f aca="false">IF(AND(A918&gt;=DATE(2014,9,24),A918&lt;=DATE(2014,10,6)),"Promo 1",IF(AND(A918&gt;=DATE(2014,9,10),A918&lt;=DATE(2014,9,23)),"Baseline 1",IF(AND(A918&gt;=DATE(2015,9,23),A918&lt;=DATE(2015,10,6)),"Promo 2",IF(AND(A918&gt;=DATE(2015,9,9),A918&lt;=DATE(2015,9,22)),"Baseline 2",IF(AND(A918&gt;=DATE(2016,6,23),A918&lt;=DATE(2016,7,6)),"Promo 3",IF(AND(A918&gt;=DATE(2016,6,9),A918&lt;=DATE(2016,6,22)),"Baseline 3","Other"))))))</f>
        <v>Promo 3</v>
      </c>
    </row>
    <row r="919" customFormat="false" ht="15" hidden="false" customHeight="true" outlineLevel="0" collapsed="false">
      <c r="A919" s="12" t="n">
        <v>42555</v>
      </c>
      <c r="B919" s="13" t="n">
        <v>281531.685555979</v>
      </c>
      <c r="C919" s="13" t="n">
        <v>304052.476995267</v>
      </c>
      <c r="D919" s="14" t="n">
        <v>8431</v>
      </c>
      <c r="E919" s="15" t="n">
        <f aca="false">B919/D919</f>
        <v>33.3924428366717</v>
      </c>
      <c r="F919" s="15" t="n">
        <f aca="false">C919/D919</f>
        <v>36.063631478504</v>
      </c>
      <c r="G919" s="13" t="n">
        <f aca="false">B919-C919</f>
        <v>-22520.7914392879</v>
      </c>
      <c r="H919" s="16" t="n">
        <f aca="false">G919/B919</f>
        <v>-0.0799938074281517</v>
      </c>
      <c r="I919" s="15" t="n">
        <f aca="false">G919/D919</f>
        <v>-2.67118864183228</v>
      </c>
      <c r="J919" s="16" t="n">
        <f aca="false">I919/E919</f>
        <v>-0.0799938074281517</v>
      </c>
      <c r="K919" s="17" t="str">
        <f aca="false">TEXT(A919,"dddd")</f>
        <v>Monday</v>
      </c>
      <c r="L919" s="17" t="str">
        <f aca="false">IF(AND(A919&gt;=DATE(2014,9,24),A919&lt;=DATE(2014,10,6)),"Promo 1",IF(AND(A919&gt;=DATE(2014,9,10),A919&lt;=DATE(2014,9,23)),"Baseline 1",IF(AND(A919&gt;=DATE(2015,9,23),A919&lt;=DATE(2015,10,6)),"Promo 2",IF(AND(A919&gt;=DATE(2015,9,9),A919&lt;=DATE(2015,9,22)),"Baseline 2",IF(AND(A919&gt;=DATE(2016,6,23),A919&lt;=DATE(2016,7,6)),"Promo 3",IF(AND(A919&gt;=DATE(2016,6,9),A919&lt;=DATE(2016,6,22)),"Baseline 3","Other"))))))</f>
        <v>Promo 3</v>
      </c>
    </row>
    <row r="920" customFormat="false" ht="15" hidden="false" customHeight="true" outlineLevel="0" collapsed="false">
      <c r="A920" s="12" t="n">
        <v>42556</v>
      </c>
      <c r="B920" s="13" t="n">
        <v>219363.220135639</v>
      </c>
      <c r="C920" s="13" t="n">
        <v>237026.350540846</v>
      </c>
      <c r="D920" s="14" t="n">
        <v>6577</v>
      </c>
      <c r="E920" s="15" t="n">
        <f aca="false">B920/D920</f>
        <v>33.3530819728811</v>
      </c>
      <c r="F920" s="15" t="n">
        <f aca="false">C920/D920</f>
        <v>36.0386727293365</v>
      </c>
      <c r="G920" s="13" t="n">
        <f aca="false">B920-C920</f>
        <v>-17663.130405207</v>
      </c>
      <c r="H920" s="16" t="n">
        <f aca="false">G920/B920</f>
        <v>-0.0805200178693827</v>
      </c>
      <c r="I920" s="15" t="n">
        <f aca="false">G920/D920</f>
        <v>-2.68559075645537</v>
      </c>
      <c r="J920" s="16" t="n">
        <f aca="false">I920/E920</f>
        <v>-0.0805200178693827</v>
      </c>
      <c r="K920" s="17" t="str">
        <f aca="false">TEXT(A920,"dddd")</f>
        <v>Tuesday</v>
      </c>
      <c r="L920" s="17" t="str">
        <f aca="false">IF(AND(A920&gt;=DATE(2014,9,24),A920&lt;=DATE(2014,10,6)),"Promo 1",IF(AND(A920&gt;=DATE(2014,9,10),A920&lt;=DATE(2014,9,23)),"Baseline 1",IF(AND(A920&gt;=DATE(2015,9,23),A920&lt;=DATE(2015,10,6)),"Promo 2",IF(AND(A920&gt;=DATE(2015,9,9),A920&lt;=DATE(2015,9,22)),"Baseline 2",IF(AND(A920&gt;=DATE(2016,6,23),A920&lt;=DATE(2016,7,6)),"Promo 3",IF(AND(A920&gt;=DATE(2016,6,9),A920&lt;=DATE(2016,6,22)),"Baseline 3","Other"))))))</f>
        <v>Promo 3</v>
      </c>
    </row>
    <row r="921" customFormat="false" ht="15" hidden="false" customHeight="true" outlineLevel="0" collapsed="false">
      <c r="A921" s="12" t="n">
        <v>42557</v>
      </c>
      <c r="B921" s="13" t="n">
        <v>204005.582234554</v>
      </c>
      <c r="C921" s="13" t="n">
        <v>219722.894950048</v>
      </c>
      <c r="D921" s="14" t="n">
        <v>6098</v>
      </c>
      <c r="E921" s="15" t="n">
        <f aca="false">B921/D921</f>
        <v>33.45450676198</v>
      </c>
      <c r="F921" s="15" t="n">
        <f aca="false">C921/D921</f>
        <v>36.031960470654</v>
      </c>
      <c r="G921" s="13" t="n">
        <f aca="false">B921-C921</f>
        <v>-15717.312715494</v>
      </c>
      <c r="H921" s="16" t="n">
        <f aca="false">G921/B921</f>
        <v>-0.0770435423547535</v>
      </c>
      <c r="I921" s="15" t="n">
        <f aca="false">G921/D921</f>
        <v>-2.57745370867399</v>
      </c>
      <c r="J921" s="16" t="n">
        <f aca="false">I921/E921</f>
        <v>-0.0770435423547535</v>
      </c>
      <c r="K921" s="17" t="str">
        <f aca="false">TEXT(A921,"dddd")</f>
        <v>Wednesday</v>
      </c>
      <c r="L921" s="17" t="str">
        <f aca="false">IF(AND(A921&gt;=DATE(2014,9,24),A921&lt;=DATE(2014,10,6)),"Promo 1",IF(AND(A921&gt;=DATE(2014,9,10),A921&lt;=DATE(2014,9,23)),"Baseline 1",IF(AND(A921&gt;=DATE(2015,9,23),A921&lt;=DATE(2015,10,6)),"Promo 2",IF(AND(A921&gt;=DATE(2015,9,9),A921&lt;=DATE(2015,9,22)),"Baseline 2",IF(AND(A921&gt;=DATE(2016,6,23),A921&lt;=DATE(2016,7,6)),"Promo 3",IF(AND(A921&gt;=DATE(2016,6,9),A921&lt;=DATE(2016,6,22)),"Baseline 3","Other"))))))</f>
        <v>Promo 3</v>
      </c>
    </row>
    <row r="922" customFormat="false" ht="15" hidden="false" customHeight="true" outlineLevel="0" collapsed="false">
      <c r="A922" s="12" t="n">
        <v>42558</v>
      </c>
      <c r="B922" s="13" t="n">
        <v>69579.0684554698</v>
      </c>
      <c r="C922" s="13" t="n">
        <v>59598.9178001924</v>
      </c>
      <c r="D922" s="14" t="n">
        <v>1654</v>
      </c>
      <c r="E922" s="15" t="n">
        <f aca="false">B922/D922</f>
        <v>42.0671514241051</v>
      </c>
      <c r="F922" s="15" t="n">
        <f aca="false">C922/D922</f>
        <v>36.0332030230909</v>
      </c>
      <c r="G922" s="13" t="n">
        <f aca="false">B922-C922</f>
        <v>9980.15065527739</v>
      </c>
      <c r="H922" s="16" t="n">
        <f aca="false">G922/B922</f>
        <v>0.143436106243139</v>
      </c>
      <c r="I922" s="15" t="n">
        <f aca="false">G922/D922</f>
        <v>6.03394840101414</v>
      </c>
      <c r="J922" s="16" t="n">
        <f aca="false">I922/E922</f>
        <v>0.143436106243139</v>
      </c>
      <c r="K922" s="17" t="str">
        <f aca="false">TEXT(A922,"dddd")</f>
        <v>Thursday</v>
      </c>
      <c r="L922" s="17" t="str">
        <f aca="false">IF(AND(A922&gt;=DATE(2014,9,24),A922&lt;=DATE(2014,10,6)),"Promo 1",IF(AND(A922&gt;=DATE(2014,9,10),A922&lt;=DATE(2014,9,23)),"Baseline 1",IF(AND(A922&gt;=DATE(2015,9,23),A922&lt;=DATE(2015,10,6)),"Promo 2",IF(AND(A922&gt;=DATE(2015,9,9),A922&lt;=DATE(2015,9,22)),"Baseline 2",IF(AND(A922&gt;=DATE(2016,6,23),A922&lt;=DATE(2016,7,6)),"Promo 3",IF(AND(A922&gt;=DATE(2016,6,9),A922&lt;=DATE(2016,6,22)),"Baseline 3","Other"))))))</f>
        <v>Other</v>
      </c>
    </row>
    <row r="923" customFormat="false" ht="15" hidden="false" customHeight="true" outlineLevel="0" collapsed="false">
      <c r="A923" s="12" t="n">
        <v>42559</v>
      </c>
      <c r="B923" s="13" t="n">
        <v>87184.7400287089</v>
      </c>
      <c r="C923" s="13" t="n">
        <v>74654.5204192968</v>
      </c>
      <c r="D923" s="14" t="n">
        <v>2073</v>
      </c>
      <c r="E923" s="15" t="n">
        <f aca="false">B923/D923</f>
        <v>42.0572793192035</v>
      </c>
      <c r="F923" s="15" t="n">
        <f aca="false">C923/D923</f>
        <v>36.0127932558113</v>
      </c>
      <c r="G923" s="13" t="n">
        <f aca="false">B923-C923</f>
        <v>12530.2196094121</v>
      </c>
      <c r="H923" s="16" t="n">
        <f aca="false">G923/B923</f>
        <v>0.143720330017455</v>
      </c>
      <c r="I923" s="15" t="n">
        <f aca="false">G923/D923</f>
        <v>6.04448606339224</v>
      </c>
      <c r="J923" s="16" t="n">
        <f aca="false">I923/E923</f>
        <v>0.143720330017456</v>
      </c>
      <c r="K923" s="17" t="str">
        <f aca="false">TEXT(A923,"dddd")</f>
        <v>Friday</v>
      </c>
      <c r="L923" s="17" t="str">
        <f aca="false">IF(AND(A923&gt;=DATE(2014,9,24),A923&lt;=DATE(2014,10,6)),"Promo 1",IF(AND(A923&gt;=DATE(2014,9,10),A923&lt;=DATE(2014,9,23)),"Baseline 1",IF(AND(A923&gt;=DATE(2015,9,23),A923&lt;=DATE(2015,10,6)),"Promo 2",IF(AND(A923&gt;=DATE(2015,9,9),A923&lt;=DATE(2015,9,22)),"Baseline 2",IF(AND(A923&gt;=DATE(2016,6,23),A923&lt;=DATE(2016,7,6)),"Promo 3",IF(AND(A923&gt;=DATE(2016,6,9),A923&lt;=DATE(2016,6,22)),"Baseline 3","Other"))))))</f>
        <v>Other</v>
      </c>
    </row>
    <row r="924" customFormat="false" ht="15" hidden="false" customHeight="true" outlineLevel="0" collapsed="false">
      <c r="A924" s="12" t="n">
        <v>42560</v>
      </c>
      <c r="B924" s="13" t="n">
        <v>78700.4360483392</v>
      </c>
      <c r="C924" s="13" t="n">
        <v>67367.3832404026</v>
      </c>
      <c r="D924" s="14" t="n">
        <v>1871</v>
      </c>
      <c r="E924" s="15" t="n">
        <f aca="false">B924/D924</f>
        <v>42.063300934441</v>
      </c>
      <c r="F924" s="15" t="n">
        <f aca="false">C924/D924</f>
        <v>36.0060840408352</v>
      </c>
      <c r="G924" s="13" t="n">
        <f aca="false">B924-C924</f>
        <v>11333.0528079366</v>
      </c>
      <c r="H924" s="16" t="n">
        <f aca="false">G924/B924</f>
        <v>0.144002414433582</v>
      </c>
      <c r="I924" s="15" t="n">
        <f aca="false">G924/D924</f>
        <v>6.05721689360587</v>
      </c>
      <c r="J924" s="16" t="n">
        <f aca="false">I924/E924</f>
        <v>0.144002414433582</v>
      </c>
      <c r="K924" s="17" t="str">
        <f aca="false">TEXT(A924,"dddd")</f>
        <v>Saturday</v>
      </c>
      <c r="L924" s="17" t="str">
        <f aca="false">IF(AND(A924&gt;=DATE(2014,9,24),A924&lt;=DATE(2014,10,6)),"Promo 1",IF(AND(A924&gt;=DATE(2014,9,10),A924&lt;=DATE(2014,9,23)),"Baseline 1",IF(AND(A924&gt;=DATE(2015,9,23),A924&lt;=DATE(2015,10,6)),"Promo 2",IF(AND(A924&gt;=DATE(2015,9,9),A924&lt;=DATE(2015,9,22)),"Baseline 2",IF(AND(A924&gt;=DATE(2016,6,23),A924&lt;=DATE(2016,7,6)),"Promo 3",IF(AND(A924&gt;=DATE(2016,6,9),A924&lt;=DATE(2016,6,22)),"Baseline 3","Other"))))))</f>
        <v>Other</v>
      </c>
    </row>
    <row r="925" customFormat="false" ht="15" hidden="false" customHeight="true" outlineLevel="0" collapsed="false">
      <c r="A925" s="12" t="n">
        <v>42561</v>
      </c>
      <c r="B925" s="13" t="n">
        <v>39809.5590906004</v>
      </c>
      <c r="C925" s="13" t="n">
        <v>34091.5696624407</v>
      </c>
      <c r="D925" s="14" t="n">
        <v>946</v>
      </c>
      <c r="E925" s="15" t="n">
        <f aca="false">B925/D925</f>
        <v>42.0819863537002</v>
      </c>
      <c r="F925" s="15" t="n">
        <f aca="false">C925/D925</f>
        <v>36.037600066005</v>
      </c>
      <c r="G925" s="13" t="n">
        <f aca="false">B925-C925</f>
        <v>5717.9894281597</v>
      </c>
      <c r="H925" s="16" t="n">
        <f aca="false">G925/B925</f>
        <v>0.143633578436436</v>
      </c>
      <c r="I925" s="15" t="n">
        <f aca="false">G925/D925</f>
        <v>6.04438628769524</v>
      </c>
      <c r="J925" s="16" t="n">
        <f aca="false">I925/E925</f>
        <v>0.143633578436436</v>
      </c>
      <c r="K925" s="17" t="str">
        <f aca="false">TEXT(A925,"dddd")</f>
        <v>Sunday</v>
      </c>
      <c r="L925" s="17" t="str">
        <f aca="false">IF(AND(A925&gt;=DATE(2014,9,24),A925&lt;=DATE(2014,10,6)),"Promo 1",IF(AND(A925&gt;=DATE(2014,9,10),A925&lt;=DATE(2014,9,23)),"Baseline 1",IF(AND(A925&gt;=DATE(2015,9,23),A925&lt;=DATE(2015,10,6)),"Promo 2",IF(AND(A925&gt;=DATE(2015,9,9),A925&lt;=DATE(2015,9,22)),"Baseline 2",IF(AND(A925&gt;=DATE(2016,6,23),A925&lt;=DATE(2016,7,6)),"Promo 3",IF(AND(A925&gt;=DATE(2016,6,9),A925&lt;=DATE(2016,6,22)),"Baseline 3","Other"))))))</f>
        <v>Other</v>
      </c>
    </row>
    <row r="926" customFormat="false" ht="15" hidden="false" customHeight="true" outlineLevel="0" collapsed="false">
      <c r="A926" s="12" t="n">
        <v>42562</v>
      </c>
      <c r="B926" s="13" t="n">
        <v>45839.2387701903</v>
      </c>
      <c r="C926" s="13" t="n">
        <v>39231.1953722078</v>
      </c>
      <c r="D926" s="14" t="n">
        <v>1090</v>
      </c>
      <c r="E926" s="15" t="n">
        <f aca="false">B926/D926</f>
        <v>42.0543474955874</v>
      </c>
      <c r="F926" s="15" t="n">
        <f aca="false">C926/D926</f>
        <v>35.9919223598237</v>
      </c>
      <c r="G926" s="13" t="n">
        <f aca="false">B926-C926</f>
        <v>6608.0433979825</v>
      </c>
      <c r="H926" s="16" t="n">
        <f aca="false">G926/B926</f>
        <v>0.144156918292451</v>
      </c>
      <c r="I926" s="15" t="n">
        <f aca="false">G926/D926</f>
        <v>6.06242513576376</v>
      </c>
      <c r="J926" s="16" t="n">
        <f aca="false">I926/E926</f>
        <v>0.144156918292451</v>
      </c>
      <c r="K926" s="17" t="str">
        <f aca="false">TEXT(A926,"dddd")</f>
        <v>Monday</v>
      </c>
      <c r="L926" s="17" t="str">
        <f aca="false">IF(AND(A926&gt;=DATE(2014,9,24),A926&lt;=DATE(2014,10,6)),"Promo 1",IF(AND(A926&gt;=DATE(2014,9,10),A926&lt;=DATE(2014,9,23)),"Baseline 1",IF(AND(A926&gt;=DATE(2015,9,23),A926&lt;=DATE(2015,10,6)),"Promo 2",IF(AND(A926&gt;=DATE(2015,9,9),A926&lt;=DATE(2015,9,22)),"Baseline 2",IF(AND(A926&gt;=DATE(2016,6,23),A926&lt;=DATE(2016,7,6)),"Promo 3",IF(AND(A926&gt;=DATE(2016,6,9),A926&lt;=DATE(2016,6,22)),"Baseline 3","Other"))))))</f>
        <v>Other</v>
      </c>
    </row>
    <row r="927" customFormat="false" ht="15" hidden="false" customHeight="true" outlineLevel="0" collapsed="false">
      <c r="A927" s="12" t="n">
        <v>42563</v>
      </c>
      <c r="B927" s="13" t="n">
        <v>36851.7637468504</v>
      </c>
      <c r="C927" s="13" t="n">
        <v>31574.325469601</v>
      </c>
      <c r="D927" s="14" t="n">
        <v>876</v>
      </c>
      <c r="E927" s="15" t="n">
        <f aca="false">B927/D927</f>
        <v>42.0682234553087</v>
      </c>
      <c r="F927" s="15" t="n">
        <f aca="false">C927/D927</f>
        <v>36.0437505360742</v>
      </c>
      <c r="G927" s="13" t="n">
        <f aca="false">B927-C927</f>
        <v>5277.4382772494</v>
      </c>
      <c r="H927" s="16" t="n">
        <f aca="false">G927/B927</f>
        <v>0.143207210203079</v>
      </c>
      <c r="I927" s="15" t="n">
        <f aca="false">G927/D927</f>
        <v>6.02447291923448</v>
      </c>
      <c r="J927" s="16" t="n">
        <f aca="false">I927/E927</f>
        <v>0.143207210203079</v>
      </c>
      <c r="K927" s="17" t="str">
        <f aca="false">TEXT(A927,"dddd")</f>
        <v>Tuesday</v>
      </c>
      <c r="L927" s="17" t="str">
        <f aca="false">IF(AND(A927&gt;=DATE(2014,9,24),A927&lt;=DATE(2014,10,6)),"Promo 1",IF(AND(A927&gt;=DATE(2014,9,10),A927&lt;=DATE(2014,9,23)),"Baseline 1",IF(AND(A927&gt;=DATE(2015,9,23),A927&lt;=DATE(2015,10,6)),"Promo 2",IF(AND(A927&gt;=DATE(2015,9,9),A927&lt;=DATE(2015,9,22)),"Baseline 2",IF(AND(A927&gt;=DATE(2016,6,23),A927&lt;=DATE(2016,7,6)),"Promo 3",IF(AND(A927&gt;=DATE(2016,6,9),A927&lt;=DATE(2016,6,22)),"Baseline 3","Other"))))))</f>
        <v>Other</v>
      </c>
    </row>
    <row r="928" customFormat="false" ht="15" hidden="false" customHeight="true" outlineLevel="0" collapsed="false">
      <c r="A928" s="12" t="n">
        <v>42564</v>
      </c>
      <c r="B928" s="13" t="n">
        <v>33225.6704717701</v>
      </c>
      <c r="C928" s="13" t="n">
        <v>28489.0813981488</v>
      </c>
      <c r="D928" s="14" t="n">
        <v>790</v>
      </c>
      <c r="E928" s="15" t="n">
        <f aca="false">B928/D928</f>
        <v>42.0578107237596</v>
      </c>
      <c r="F928" s="15" t="n">
        <f aca="false">C928/D928</f>
        <v>36.0621283520871</v>
      </c>
      <c r="G928" s="13" t="n">
        <f aca="false">B928-C928</f>
        <v>4736.5890736213</v>
      </c>
      <c r="H928" s="16" t="n">
        <f aca="false">G928/B928</f>
        <v>0.142558118658454</v>
      </c>
      <c r="I928" s="15" t="n">
        <f aca="false">G928/D928</f>
        <v>5.99568237167253</v>
      </c>
      <c r="J928" s="16" t="n">
        <f aca="false">I928/E928</f>
        <v>0.142558118658454</v>
      </c>
      <c r="K928" s="17" t="str">
        <f aca="false">TEXT(A928,"dddd")</f>
        <v>Wednesday</v>
      </c>
      <c r="L928" s="17" t="str">
        <f aca="false">IF(AND(A928&gt;=DATE(2014,9,24),A928&lt;=DATE(2014,10,6)),"Promo 1",IF(AND(A928&gt;=DATE(2014,9,10),A928&lt;=DATE(2014,9,23)),"Baseline 1",IF(AND(A928&gt;=DATE(2015,9,23),A928&lt;=DATE(2015,10,6)),"Promo 2",IF(AND(A928&gt;=DATE(2015,9,9),A928&lt;=DATE(2015,9,22)),"Baseline 2",IF(AND(A928&gt;=DATE(2016,6,23),A928&lt;=DATE(2016,7,6)),"Promo 3",IF(AND(A928&gt;=DATE(2016,6,9),A928&lt;=DATE(2016,6,22)),"Baseline 3","Other"))))))</f>
        <v>Other</v>
      </c>
    </row>
    <row r="929" customFormat="false" ht="15" hidden="false" customHeight="true" outlineLevel="0" collapsed="false">
      <c r="A929" s="12" t="n">
        <v>42565</v>
      </c>
      <c r="B929" s="13" t="n">
        <v>30423.3914567401</v>
      </c>
      <c r="C929" s="13" t="n">
        <v>26053.7967186715</v>
      </c>
      <c r="D929" s="14" t="n">
        <v>723</v>
      </c>
      <c r="E929" s="15" t="n">
        <f aca="false">B929/D929</f>
        <v>42.0793796082159</v>
      </c>
      <c r="F929" s="15" t="n">
        <f aca="false">C929/D929</f>
        <v>36.0356801088126</v>
      </c>
      <c r="G929" s="13" t="n">
        <f aca="false">B929-C929</f>
        <v>4369.5947380686</v>
      </c>
      <c r="H929" s="16" t="n">
        <f aca="false">G929/B929</f>
        <v>0.143626155035406</v>
      </c>
      <c r="I929" s="15" t="n">
        <f aca="false">G929/D929</f>
        <v>6.04369949940332</v>
      </c>
      <c r="J929" s="16" t="n">
        <f aca="false">I929/E929</f>
        <v>0.143626155035406</v>
      </c>
      <c r="K929" s="17" t="str">
        <f aca="false">TEXT(A929,"dddd")</f>
        <v>Thursday</v>
      </c>
      <c r="L929" s="17" t="str">
        <f aca="false">IF(AND(A929&gt;=DATE(2014,9,24),A929&lt;=DATE(2014,10,6)),"Promo 1",IF(AND(A929&gt;=DATE(2014,9,10),A929&lt;=DATE(2014,9,23)),"Baseline 1",IF(AND(A929&gt;=DATE(2015,9,23),A929&lt;=DATE(2015,10,6)),"Promo 2",IF(AND(A929&gt;=DATE(2015,9,9),A929&lt;=DATE(2015,9,22)),"Baseline 2",IF(AND(A929&gt;=DATE(2016,6,23),A929&lt;=DATE(2016,7,6)),"Promo 3",IF(AND(A929&gt;=DATE(2016,6,9),A929&lt;=DATE(2016,6,22)),"Baseline 3","Other"))))))</f>
        <v>Other</v>
      </c>
    </row>
    <row r="930" customFormat="false" ht="15" hidden="false" customHeight="true" outlineLevel="0" collapsed="false">
      <c r="A930" s="12" t="n">
        <v>42566</v>
      </c>
      <c r="B930" s="13" t="n">
        <v>80345.6376594392</v>
      </c>
      <c r="C930" s="13" t="n">
        <v>68788.0945363847</v>
      </c>
      <c r="D930" s="14" t="n">
        <v>1910</v>
      </c>
      <c r="E930" s="15" t="n">
        <f aca="false">B930/D930</f>
        <v>42.0657788792875</v>
      </c>
      <c r="F930" s="15" t="n">
        <f aca="false">C930/D930</f>
        <v>36.0147091813533</v>
      </c>
      <c r="G930" s="13" t="n">
        <f aca="false">B930-C930</f>
        <v>11557.5431230545</v>
      </c>
      <c r="H930" s="16" t="n">
        <f aca="false">G930/B930</f>
        <v>0.143847798831885</v>
      </c>
      <c r="I930" s="15" t="n">
        <f aca="false">G930/D930</f>
        <v>6.0510696979343</v>
      </c>
      <c r="J930" s="16" t="n">
        <f aca="false">I930/E930</f>
        <v>0.143847798831885</v>
      </c>
      <c r="K930" s="17" t="str">
        <f aca="false">TEXT(A930,"dddd")</f>
        <v>Friday</v>
      </c>
      <c r="L930" s="17" t="str">
        <f aca="false">IF(AND(A930&gt;=DATE(2014,9,24),A930&lt;=DATE(2014,10,6)),"Promo 1",IF(AND(A930&gt;=DATE(2014,9,10),A930&lt;=DATE(2014,9,23)),"Baseline 1",IF(AND(A930&gt;=DATE(2015,9,23),A930&lt;=DATE(2015,10,6)),"Promo 2",IF(AND(A930&gt;=DATE(2015,9,9),A930&lt;=DATE(2015,9,22)),"Baseline 2",IF(AND(A930&gt;=DATE(2016,6,23),A930&lt;=DATE(2016,7,6)),"Promo 3",IF(AND(A930&gt;=DATE(2016,6,9),A930&lt;=DATE(2016,6,22)),"Baseline 3","Other"))))))</f>
        <v>Other</v>
      </c>
    </row>
    <row r="931" customFormat="false" ht="15" hidden="false" customHeight="true" outlineLevel="0" collapsed="false">
      <c r="A931" s="12" t="n">
        <v>42567</v>
      </c>
      <c r="B931" s="13" t="n">
        <v>95297.3386266387</v>
      </c>
      <c r="C931" s="13" t="n">
        <v>81655.8577308587</v>
      </c>
      <c r="D931" s="14" t="n">
        <v>2266</v>
      </c>
      <c r="E931" s="15" t="n">
        <f aca="false">B931/D931</f>
        <v>42.0553127213763</v>
      </c>
      <c r="F931" s="15" t="n">
        <f aca="false">C931/D931</f>
        <v>36.0352417170603</v>
      </c>
      <c r="G931" s="13" t="n">
        <f aca="false">B931-C931</f>
        <v>13641.48089578</v>
      </c>
      <c r="H931" s="16" t="n">
        <f aca="false">G931/B931</f>
        <v>0.14314650432396</v>
      </c>
      <c r="I931" s="15" t="n">
        <f aca="false">G931/D931</f>
        <v>6.02007100431597</v>
      </c>
      <c r="J931" s="16" t="n">
        <f aca="false">I931/E931</f>
        <v>0.14314650432396</v>
      </c>
      <c r="K931" s="17" t="str">
        <f aca="false">TEXT(A931,"dddd")</f>
        <v>Saturday</v>
      </c>
      <c r="L931" s="17" t="str">
        <f aca="false">IF(AND(A931&gt;=DATE(2014,9,24),A931&lt;=DATE(2014,10,6)),"Promo 1",IF(AND(A931&gt;=DATE(2014,9,10),A931&lt;=DATE(2014,9,23)),"Baseline 1",IF(AND(A931&gt;=DATE(2015,9,23),A931&lt;=DATE(2015,10,6)),"Promo 2",IF(AND(A931&gt;=DATE(2015,9,9),A931&lt;=DATE(2015,9,22)),"Baseline 2",IF(AND(A931&gt;=DATE(2016,6,23),A931&lt;=DATE(2016,7,6)),"Promo 3",IF(AND(A931&gt;=DATE(2016,6,9),A931&lt;=DATE(2016,6,22)),"Baseline 3","Other"))))))</f>
        <v>Other</v>
      </c>
    </row>
    <row r="932" customFormat="false" ht="15" hidden="false" customHeight="true" outlineLevel="0" collapsed="false">
      <c r="A932" s="12" t="n">
        <v>42568</v>
      </c>
      <c r="B932" s="13" t="n">
        <v>45324.0545276703</v>
      </c>
      <c r="C932" s="13" t="n">
        <v>38809.8089000325</v>
      </c>
      <c r="D932" s="14" t="n">
        <v>1078</v>
      </c>
      <c r="E932" s="15" t="n">
        <f aca="false">B932/D932</f>
        <v>42.0445774839242</v>
      </c>
      <c r="F932" s="15" t="n">
        <f aca="false">C932/D932</f>
        <v>36.0016780148725</v>
      </c>
      <c r="G932" s="13" t="n">
        <f aca="false">B932-C932</f>
        <v>6514.2456276378</v>
      </c>
      <c r="H932" s="16" t="n">
        <f aca="false">G932/B932</f>
        <v>0.143726012500953</v>
      </c>
      <c r="I932" s="15" t="n">
        <f aca="false">G932/D932</f>
        <v>6.04289946905176</v>
      </c>
      <c r="J932" s="16" t="n">
        <f aca="false">I932/E932</f>
        <v>0.143726012500953</v>
      </c>
      <c r="K932" s="17" t="str">
        <f aca="false">TEXT(A932,"dddd")</f>
        <v>Sunday</v>
      </c>
      <c r="L932" s="17" t="str">
        <f aca="false">IF(AND(A932&gt;=DATE(2014,9,24),A932&lt;=DATE(2014,10,6)),"Promo 1",IF(AND(A932&gt;=DATE(2014,9,10),A932&lt;=DATE(2014,9,23)),"Baseline 1",IF(AND(A932&gt;=DATE(2015,9,23),A932&lt;=DATE(2015,10,6)),"Promo 2",IF(AND(A932&gt;=DATE(2015,9,9),A932&lt;=DATE(2015,9,22)),"Baseline 2",IF(AND(A932&gt;=DATE(2016,6,23),A932&lt;=DATE(2016,7,6)),"Promo 3",IF(AND(A932&gt;=DATE(2016,6,9),A932&lt;=DATE(2016,6,22)),"Baseline 3","Other"))))))</f>
        <v>Other</v>
      </c>
    </row>
    <row r="933" customFormat="false" ht="15" hidden="false" customHeight="true" outlineLevel="0" collapsed="false">
      <c r="A933" s="12" t="n">
        <v>42569</v>
      </c>
      <c r="B933" s="13" t="n">
        <v>51604.1184087902</v>
      </c>
      <c r="C933" s="13" t="n">
        <v>44222.784476634</v>
      </c>
      <c r="D933" s="14" t="n">
        <v>1227</v>
      </c>
      <c r="E933" s="15" t="n">
        <f aca="false">B933/D933</f>
        <v>42.0571462174329</v>
      </c>
      <c r="F933" s="15" t="n">
        <f aca="false">C933/D933</f>
        <v>36.041389141511</v>
      </c>
      <c r="G933" s="13" t="n">
        <f aca="false">B933-C933</f>
        <v>7381.3339321562</v>
      </c>
      <c r="H933" s="16" t="n">
        <f aca="false">G933/B933</f>
        <v>0.143037690784363</v>
      </c>
      <c r="I933" s="15" t="n">
        <f aca="false">G933/D933</f>
        <v>6.01575707592192</v>
      </c>
      <c r="J933" s="16" t="n">
        <f aca="false">I933/E933</f>
        <v>0.143037690784363</v>
      </c>
      <c r="K933" s="17" t="str">
        <f aca="false">TEXT(A933,"dddd")</f>
        <v>Monday</v>
      </c>
      <c r="L933" s="17" t="str">
        <f aca="false">IF(AND(A933&gt;=DATE(2014,9,24),A933&lt;=DATE(2014,10,6)),"Promo 1",IF(AND(A933&gt;=DATE(2014,9,10),A933&lt;=DATE(2014,9,23)),"Baseline 1",IF(AND(A933&gt;=DATE(2015,9,23),A933&lt;=DATE(2015,10,6)),"Promo 2",IF(AND(A933&gt;=DATE(2015,9,9),A933&lt;=DATE(2015,9,22)),"Baseline 2",IF(AND(A933&gt;=DATE(2016,6,23),A933&lt;=DATE(2016,7,6)),"Promo 3",IF(AND(A933&gt;=DATE(2016,6,9),A933&lt;=DATE(2016,6,22)),"Baseline 3","Other"))))))</f>
        <v>Other</v>
      </c>
    </row>
    <row r="934" customFormat="false" ht="15" hidden="false" customHeight="true" outlineLevel="0" collapsed="false">
      <c r="A934" s="12" t="n">
        <v>42570</v>
      </c>
      <c r="B934" s="13" t="n">
        <v>37870.1190323404</v>
      </c>
      <c r="C934" s="13" t="n">
        <v>32436.7959651713</v>
      </c>
      <c r="D934" s="14" t="n">
        <v>900</v>
      </c>
      <c r="E934" s="15" t="n">
        <f aca="false">B934/D934</f>
        <v>42.0779100359338</v>
      </c>
      <c r="F934" s="15" t="n">
        <f aca="false">C934/D934</f>
        <v>36.0408844057459</v>
      </c>
      <c r="G934" s="13" t="n">
        <f aca="false">B934-C934</f>
        <v>5433.3230671691</v>
      </c>
      <c r="H934" s="16" t="n">
        <f aca="false">G934/B934</f>
        <v>0.143472563752154</v>
      </c>
      <c r="I934" s="15" t="n">
        <f aca="false">G934/D934</f>
        <v>6.03702563018789</v>
      </c>
      <c r="J934" s="16" t="n">
        <f aca="false">I934/E934</f>
        <v>0.143472563752154</v>
      </c>
      <c r="K934" s="17" t="str">
        <f aca="false">TEXT(A934,"dddd")</f>
        <v>Tuesday</v>
      </c>
      <c r="L934" s="17" t="str">
        <f aca="false">IF(AND(A934&gt;=DATE(2014,9,24),A934&lt;=DATE(2014,10,6)),"Promo 1",IF(AND(A934&gt;=DATE(2014,9,10),A934&lt;=DATE(2014,9,23)),"Baseline 1",IF(AND(A934&gt;=DATE(2015,9,23),A934&lt;=DATE(2015,10,6)),"Promo 2",IF(AND(A934&gt;=DATE(2015,9,9),A934&lt;=DATE(2015,9,22)),"Baseline 2",IF(AND(A934&gt;=DATE(2016,6,23),A934&lt;=DATE(2016,7,6)),"Promo 3",IF(AND(A934&gt;=DATE(2016,6,9),A934&lt;=DATE(2016,6,22)),"Baseline 3","Other"))))))</f>
        <v>Other</v>
      </c>
    </row>
    <row r="935" customFormat="false" ht="15" hidden="false" customHeight="true" outlineLevel="0" collapsed="false">
      <c r="A935" s="12" t="n">
        <v>42571</v>
      </c>
      <c r="B935" s="13" t="n">
        <v>42723.5244578102</v>
      </c>
      <c r="C935" s="13" t="n">
        <v>36607.3906563765</v>
      </c>
      <c r="D935" s="14" t="n">
        <v>1016</v>
      </c>
      <c r="E935" s="15" t="n">
        <f aca="false">B935/D935</f>
        <v>42.0507130490258</v>
      </c>
      <c r="F935" s="15" t="n">
        <f aca="false">C935/D935</f>
        <v>36.0308963153312</v>
      </c>
      <c r="G935" s="13" t="n">
        <f aca="false">B935-C935</f>
        <v>6116.1338014337</v>
      </c>
      <c r="H935" s="16" t="n">
        <f aca="false">G935/B935</f>
        <v>0.143156115490271</v>
      </c>
      <c r="I935" s="15" t="n">
        <f aca="false">G935/D935</f>
        <v>6.01981673369459</v>
      </c>
      <c r="J935" s="16" t="n">
        <f aca="false">I935/E935</f>
        <v>0.143156115490271</v>
      </c>
      <c r="K935" s="17" t="str">
        <f aca="false">TEXT(A935,"dddd")</f>
        <v>Wednesday</v>
      </c>
      <c r="L935" s="17" t="str">
        <f aca="false">IF(AND(A935&gt;=DATE(2014,9,24),A935&lt;=DATE(2014,10,6)),"Promo 1",IF(AND(A935&gt;=DATE(2014,9,10),A935&lt;=DATE(2014,9,23)),"Baseline 1",IF(AND(A935&gt;=DATE(2015,9,23),A935&lt;=DATE(2015,10,6)),"Promo 2",IF(AND(A935&gt;=DATE(2015,9,9),A935&lt;=DATE(2015,9,22)),"Baseline 2",IF(AND(A935&gt;=DATE(2016,6,23),A935&lt;=DATE(2016,7,6)),"Promo 3",IF(AND(A935&gt;=DATE(2016,6,9),A935&lt;=DATE(2016,6,22)),"Baseline 3","Other"))))))</f>
        <v>Other</v>
      </c>
    </row>
    <row r="936" customFormat="false" ht="15" hidden="false" customHeight="true" outlineLevel="0" collapsed="false">
      <c r="A936" s="12" t="n">
        <v>42572</v>
      </c>
      <c r="B936" s="13" t="n">
        <v>35169.9158098501</v>
      </c>
      <c r="C936" s="13" t="n">
        <v>30133.3186396659</v>
      </c>
      <c r="D936" s="14" t="n">
        <v>836</v>
      </c>
      <c r="E936" s="15" t="n">
        <f aca="false">B936/D936</f>
        <v>42.0692772845097</v>
      </c>
      <c r="F936" s="15" t="n">
        <f aca="false">C936/D936</f>
        <v>36.0446395211315</v>
      </c>
      <c r="G936" s="13" t="n">
        <f aca="false">B936-C936</f>
        <v>5036.5971701842</v>
      </c>
      <c r="H936" s="16" t="n">
        <f aca="false">G936/B936</f>
        <v>0.14320754128088</v>
      </c>
      <c r="I936" s="15" t="n">
        <f aca="false">G936/D936</f>
        <v>6.02463776337823</v>
      </c>
      <c r="J936" s="16" t="n">
        <f aca="false">I936/E936</f>
        <v>0.14320754128088</v>
      </c>
      <c r="K936" s="17" t="str">
        <f aca="false">TEXT(A936,"dddd")</f>
        <v>Thursday</v>
      </c>
      <c r="L936" s="17" t="str">
        <f aca="false">IF(AND(A936&gt;=DATE(2014,9,24),A936&lt;=DATE(2014,10,6)),"Promo 1",IF(AND(A936&gt;=DATE(2014,9,10),A936&lt;=DATE(2014,9,23)),"Baseline 1",IF(AND(A936&gt;=DATE(2015,9,23),A936&lt;=DATE(2015,10,6)),"Promo 2",IF(AND(A936&gt;=DATE(2015,9,9),A936&lt;=DATE(2015,9,22)),"Baseline 2",IF(AND(A936&gt;=DATE(2016,6,23),A936&lt;=DATE(2016,7,6)),"Promo 3",IF(AND(A936&gt;=DATE(2016,6,9),A936&lt;=DATE(2016,6,22)),"Baseline 3","Other"))))))</f>
        <v>Other</v>
      </c>
    </row>
    <row r="937" customFormat="false" ht="15" hidden="false" customHeight="true" outlineLevel="0" collapsed="false">
      <c r="A937" s="12" t="n">
        <v>42573</v>
      </c>
      <c r="B937" s="13" t="n">
        <v>61148.2050112796</v>
      </c>
      <c r="C937" s="13" t="n">
        <v>52384.4474829927</v>
      </c>
      <c r="D937" s="14" t="n">
        <v>1454</v>
      </c>
      <c r="E937" s="15" t="n">
        <f aca="false">B937/D937</f>
        <v>42.0551616308663</v>
      </c>
      <c r="F937" s="15" t="n">
        <f aca="false">C937/D937</f>
        <v>36.0278180763361</v>
      </c>
      <c r="G937" s="13" t="n">
        <f aca="false">B937-C937</f>
        <v>8763.7575282869</v>
      </c>
      <c r="H937" s="16" t="n">
        <f aca="false">G937/B937</f>
        <v>0.143319947440326</v>
      </c>
      <c r="I937" s="15" t="n">
        <f aca="false">G937/D937</f>
        <v>6.02734355453019</v>
      </c>
      <c r="J937" s="16" t="n">
        <f aca="false">I937/E937</f>
        <v>0.143319947440326</v>
      </c>
      <c r="K937" s="17" t="str">
        <f aca="false">TEXT(A937,"dddd")</f>
        <v>Friday</v>
      </c>
      <c r="L937" s="17" t="str">
        <f aca="false">IF(AND(A937&gt;=DATE(2014,9,24),A937&lt;=DATE(2014,10,6)),"Promo 1",IF(AND(A937&gt;=DATE(2014,9,10),A937&lt;=DATE(2014,9,23)),"Baseline 1",IF(AND(A937&gt;=DATE(2015,9,23),A937&lt;=DATE(2015,10,6)),"Promo 2",IF(AND(A937&gt;=DATE(2015,9,9),A937&lt;=DATE(2015,9,22)),"Baseline 2",IF(AND(A937&gt;=DATE(2016,6,23),A937&lt;=DATE(2016,7,6)),"Promo 3",IF(AND(A937&gt;=DATE(2016,6,9),A937&lt;=DATE(2016,6,22)),"Baseline 3","Other"))))))</f>
        <v>Other</v>
      </c>
    </row>
    <row r="938" customFormat="false" ht="15" hidden="false" customHeight="true" outlineLevel="0" collapsed="false">
      <c r="A938" s="12" t="n">
        <v>42574</v>
      </c>
      <c r="B938" s="13" t="n">
        <v>77171.7018001495</v>
      </c>
      <c r="C938" s="13" t="n">
        <v>66113.8320375562</v>
      </c>
      <c r="D938" s="14" t="n">
        <v>1835</v>
      </c>
      <c r="E938" s="15" t="n">
        <f aca="false">B938/D938</f>
        <v>42.0554233243322</v>
      </c>
      <c r="F938" s="15" t="n">
        <f aca="false">C938/D938</f>
        <v>36.0293362602486</v>
      </c>
      <c r="G938" s="13" t="n">
        <f aca="false">B938-C938</f>
        <v>11057.8697625933</v>
      </c>
      <c r="H938" s="16" t="n">
        <f aca="false">G938/B938</f>
        <v>0.143289178606294</v>
      </c>
      <c r="I938" s="15" t="n">
        <f aca="false">G938/D938</f>
        <v>6.02608706408354</v>
      </c>
      <c r="J938" s="16" t="n">
        <f aca="false">I938/E938</f>
        <v>0.143289178606294</v>
      </c>
      <c r="K938" s="17" t="str">
        <f aca="false">TEXT(A938,"dddd")</f>
        <v>Saturday</v>
      </c>
      <c r="L938" s="17" t="str">
        <f aca="false">IF(AND(A938&gt;=DATE(2014,9,24),A938&lt;=DATE(2014,10,6)),"Promo 1",IF(AND(A938&gt;=DATE(2014,9,10),A938&lt;=DATE(2014,9,23)),"Baseline 1",IF(AND(A938&gt;=DATE(2015,9,23),A938&lt;=DATE(2015,10,6)),"Promo 2",IF(AND(A938&gt;=DATE(2015,9,9),A938&lt;=DATE(2015,9,22)),"Baseline 2",IF(AND(A938&gt;=DATE(2016,6,23),A938&lt;=DATE(2016,7,6)),"Promo 3",IF(AND(A938&gt;=DATE(2016,6,9),A938&lt;=DATE(2016,6,22)),"Baseline 3","Other"))))))</f>
        <v>Other</v>
      </c>
    </row>
    <row r="939" customFormat="false" ht="15" hidden="false" customHeight="true" outlineLevel="0" collapsed="false">
      <c r="A939" s="12" t="n">
        <v>42575</v>
      </c>
      <c r="B939" s="13" t="n">
        <v>40881.3549122703</v>
      </c>
      <c r="C939" s="13" t="n">
        <v>35019.1126389984</v>
      </c>
      <c r="D939" s="14" t="n">
        <v>972</v>
      </c>
      <c r="E939" s="15" t="n">
        <f aca="false">B939/D939</f>
        <v>42.0590071113892</v>
      </c>
      <c r="F939" s="15" t="n">
        <f aca="false">C939/D939</f>
        <v>36.027893661521</v>
      </c>
      <c r="G939" s="13" t="n">
        <f aca="false">B939-C939</f>
        <v>5862.2422732719</v>
      </c>
      <c r="H939" s="16" t="n">
        <f aca="false">G939/B939</f>
        <v>0.143396477094559</v>
      </c>
      <c r="I939" s="15" t="n">
        <f aca="false">G939/D939</f>
        <v>6.03111344986821</v>
      </c>
      <c r="J939" s="16" t="n">
        <f aca="false">I939/E939</f>
        <v>0.143396477094559</v>
      </c>
      <c r="K939" s="17" t="str">
        <f aca="false">TEXT(A939,"dddd")</f>
        <v>Sunday</v>
      </c>
      <c r="L939" s="17" t="str">
        <f aca="false">IF(AND(A939&gt;=DATE(2014,9,24),A939&lt;=DATE(2014,10,6)),"Promo 1",IF(AND(A939&gt;=DATE(2014,9,10),A939&lt;=DATE(2014,9,23)),"Baseline 1",IF(AND(A939&gt;=DATE(2015,9,23),A939&lt;=DATE(2015,10,6)),"Promo 2",IF(AND(A939&gt;=DATE(2015,9,9),A939&lt;=DATE(2015,9,22)),"Baseline 2",IF(AND(A939&gt;=DATE(2016,6,23),A939&lt;=DATE(2016,7,6)),"Promo 3",IF(AND(A939&gt;=DATE(2016,6,9),A939&lt;=DATE(2016,6,22)),"Baseline 3","Other"))))))</f>
        <v>Other</v>
      </c>
    </row>
    <row r="940" customFormat="false" ht="15" hidden="false" customHeight="true" outlineLevel="0" collapsed="false">
      <c r="A940" s="12" t="n">
        <v>42576</v>
      </c>
      <c r="B940" s="13" t="n">
        <v>43085.5950115203</v>
      </c>
      <c r="C940" s="13" t="n">
        <v>36887.3661718906</v>
      </c>
      <c r="D940" s="14" t="n">
        <v>1024</v>
      </c>
      <c r="E940" s="15" t="n">
        <f aca="false">B940/D940</f>
        <v>42.0757763784378</v>
      </c>
      <c r="F940" s="15" t="n">
        <f aca="false">C940/D940</f>
        <v>36.0228185272369</v>
      </c>
      <c r="G940" s="13" t="n">
        <f aca="false">B940-C940</f>
        <v>6198.2288396297</v>
      </c>
      <c r="H940" s="16" t="n">
        <f aca="false">G940/B940</f>
        <v>0.143858494654012</v>
      </c>
      <c r="I940" s="15" t="n">
        <f aca="false">G940/D940</f>
        <v>6.05295785120088</v>
      </c>
      <c r="J940" s="16" t="n">
        <f aca="false">I940/E940</f>
        <v>0.143858494654012</v>
      </c>
      <c r="K940" s="17" t="str">
        <f aca="false">TEXT(A940,"dddd")</f>
        <v>Monday</v>
      </c>
      <c r="L940" s="17" t="str">
        <f aca="false">IF(AND(A940&gt;=DATE(2014,9,24),A940&lt;=DATE(2014,10,6)),"Promo 1",IF(AND(A940&gt;=DATE(2014,9,10),A940&lt;=DATE(2014,9,23)),"Baseline 1",IF(AND(A940&gt;=DATE(2015,9,23),A940&lt;=DATE(2015,10,6)),"Promo 2",IF(AND(A940&gt;=DATE(2015,9,9),A940&lt;=DATE(2015,9,22)),"Baseline 2",IF(AND(A940&gt;=DATE(2016,6,23),A940&lt;=DATE(2016,7,6)),"Promo 3",IF(AND(A940&gt;=DATE(2016,6,9),A940&lt;=DATE(2016,6,22)),"Baseline 3","Other"))))))</f>
        <v>Other</v>
      </c>
    </row>
    <row r="941" customFormat="false" ht="15" hidden="false" customHeight="true" outlineLevel="0" collapsed="false">
      <c r="A941" s="12" t="n">
        <v>42577</v>
      </c>
      <c r="B941" s="13" t="n">
        <v>43894.9934321102</v>
      </c>
      <c r="C941" s="13" t="n">
        <v>37604.6584195829</v>
      </c>
      <c r="D941" s="14" t="n">
        <v>1044</v>
      </c>
      <c r="E941" s="15" t="n">
        <f aca="false">B941/D941</f>
        <v>42.0450128660059</v>
      </c>
      <c r="F941" s="15" t="n">
        <f aca="false">C941/D941</f>
        <v>36.0197877582212</v>
      </c>
      <c r="G941" s="13" t="n">
        <f aca="false">B941-C941</f>
        <v>6290.3350125273</v>
      </c>
      <c r="H941" s="16" t="n">
        <f aca="false">G941/B941</f>
        <v>0.143304156594902</v>
      </c>
      <c r="I941" s="15" t="n">
        <f aca="false">G941/D941</f>
        <v>6.02522510778477</v>
      </c>
      <c r="J941" s="16" t="n">
        <f aca="false">I941/E941</f>
        <v>0.143304156594902</v>
      </c>
      <c r="K941" s="17" t="str">
        <f aca="false">TEXT(A941,"dddd")</f>
        <v>Tuesday</v>
      </c>
      <c r="L941" s="17" t="str">
        <f aca="false">IF(AND(A941&gt;=DATE(2014,9,24),A941&lt;=DATE(2014,10,6)),"Promo 1",IF(AND(A941&gt;=DATE(2014,9,10),A941&lt;=DATE(2014,9,23)),"Baseline 1",IF(AND(A941&gt;=DATE(2015,9,23),A941&lt;=DATE(2015,10,6)),"Promo 2",IF(AND(A941&gt;=DATE(2015,9,9),A941&lt;=DATE(2015,9,22)),"Baseline 2",IF(AND(A941&gt;=DATE(2016,6,23),A941&lt;=DATE(2016,7,6)),"Promo 3",IF(AND(A941&gt;=DATE(2016,6,9),A941&lt;=DATE(2016,6,22)),"Baseline 3","Other"))))))</f>
        <v>Other</v>
      </c>
    </row>
    <row r="942" customFormat="false" ht="15" hidden="false" customHeight="true" outlineLevel="0" collapsed="false">
      <c r="A942" s="12" t="n">
        <v>42578</v>
      </c>
      <c r="B942" s="13" t="n">
        <v>67780.7288864695</v>
      </c>
      <c r="C942" s="13" t="n">
        <v>58196.1459861954</v>
      </c>
      <c r="D942" s="14" t="n">
        <v>1611</v>
      </c>
      <c r="E942" s="15" t="n">
        <f aca="false">B942/D942</f>
        <v>42.0736988742827</v>
      </c>
      <c r="F942" s="15" t="n">
        <f aca="false">C942/D942</f>
        <v>36.1242371112324</v>
      </c>
      <c r="G942" s="13" t="n">
        <f aca="false">B942-C942</f>
        <v>9584.5829002741</v>
      </c>
      <c r="H942" s="16" t="n">
        <f aca="false">G942/B942</f>
        <v>0.141405721917331</v>
      </c>
      <c r="I942" s="15" t="n">
        <f aca="false">G942/D942</f>
        <v>5.94946176305034</v>
      </c>
      <c r="J942" s="16" t="n">
        <f aca="false">I942/E942</f>
        <v>0.141405721917331</v>
      </c>
      <c r="K942" s="17" t="str">
        <f aca="false">TEXT(A942,"dddd")</f>
        <v>Wednesday</v>
      </c>
      <c r="L942" s="17" t="str">
        <f aca="false">IF(AND(A942&gt;=DATE(2014,9,24),A942&lt;=DATE(2014,10,6)),"Promo 1",IF(AND(A942&gt;=DATE(2014,9,10),A942&lt;=DATE(2014,9,23)),"Baseline 1",IF(AND(A942&gt;=DATE(2015,9,23),A942&lt;=DATE(2015,10,6)),"Promo 2",IF(AND(A942&gt;=DATE(2015,9,9),A942&lt;=DATE(2015,9,22)),"Baseline 2",IF(AND(A942&gt;=DATE(2016,6,23),A942&lt;=DATE(2016,7,6)),"Promo 3",IF(AND(A942&gt;=DATE(2016,6,9),A942&lt;=DATE(2016,6,22)),"Baseline 3","Other"))))))</f>
        <v>Other</v>
      </c>
    </row>
    <row r="943" customFormat="false" ht="15" hidden="false" customHeight="true" outlineLevel="0" collapsed="false">
      <c r="A943" s="12" t="n">
        <v>42579</v>
      </c>
      <c r="B943" s="13" t="n">
        <v>51907.9431465002</v>
      </c>
      <c r="C943" s="13" t="n">
        <v>44544.6307431013</v>
      </c>
      <c r="D943" s="14" t="n">
        <v>1234</v>
      </c>
      <c r="E943" s="15" t="n">
        <f aca="false">B943/D943</f>
        <v>42.0647837491898</v>
      </c>
      <c r="F943" s="15" t="n">
        <f aca="false">C943/D943</f>
        <v>36.0977558696121</v>
      </c>
      <c r="G943" s="13" t="n">
        <f aca="false">B943-C943</f>
        <v>7363.3124033989</v>
      </c>
      <c r="H943" s="16" t="n">
        <f aca="false">G943/B943</f>
        <v>0.141853287898874</v>
      </c>
      <c r="I943" s="15" t="n">
        <f aca="false">G943/D943</f>
        <v>5.96702787957772</v>
      </c>
      <c r="J943" s="16" t="n">
        <f aca="false">I943/E943</f>
        <v>0.141853287898874</v>
      </c>
      <c r="K943" s="17" t="str">
        <f aca="false">TEXT(A943,"dddd")</f>
        <v>Thursday</v>
      </c>
      <c r="L943" s="17" t="str">
        <f aca="false">IF(AND(A943&gt;=DATE(2014,9,24),A943&lt;=DATE(2014,10,6)),"Promo 1",IF(AND(A943&gt;=DATE(2014,9,10),A943&lt;=DATE(2014,9,23)),"Baseline 1",IF(AND(A943&gt;=DATE(2015,9,23),A943&lt;=DATE(2015,10,6)),"Promo 2",IF(AND(A943&gt;=DATE(2015,9,9),A943&lt;=DATE(2015,9,22)),"Baseline 2",IF(AND(A943&gt;=DATE(2016,6,23),A943&lt;=DATE(2016,7,6)),"Promo 3",IF(AND(A943&gt;=DATE(2016,6,9),A943&lt;=DATE(2016,6,22)),"Baseline 3","Other"))))))</f>
        <v>Other</v>
      </c>
    </row>
    <row r="944" customFormat="false" ht="15" hidden="false" customHeight="true" outlineLevel="0" collapsed="false">
      <c r="A944" s="12" t="n">
        <v>42580</v>
      </c>
      <c r="B944" s="13" t="n">
        <v>93508.6338863692</v>
      </c>
      <c r="C944" s="13" t="n">
        <v>80346.6941338582</v>
      </c>
      <c r="D944" s="14" t="n">
        <v>2223</v>
      </c>
      <c r="E944" s="15" t="n">
        <f aca="false">B944/D944</f>
        <v>42.064162791889</v>
      </c>
      <c r="F944" s="15" t="n">
        <f aca="false">C944/D944</f>
        <v>36.143362183472</v>
      </c>
      <c r="G944" s="13" t="n">
        <f aca="false">B944-C944</f>
        <v>13161.939752511</v>
      </c>
      <c r="H944" s="16" t="n">
        <f aca="false">G944/B944</f>
        <v>0.140756411525649</v>
      </c>
      <c r="I944" s="15" t="n">
        <f aca="false">G944/D944</f>
        <v>5.92080060841701</v>
      </c>
      <c r="J944" s="16" t="n">
        <f aca="false">I944/E944</f>
        <v>0.140756411525649</v>
      </c>
      <c r="K944" s="17" t="str">
        <f aca="false">TEXT(A944,"dddd")</f>
        <v>Friday</v>
      </c>
      <c r="L944" s="17" t="str">
        <f aca="false">IF(AND(A944&gt;=DATE(2014,9,24),A944&lt;=DATE(2014,10,6)),"Promo 1",IF(AND(A944&gt;=DATE(2014,9,10),A944&lt;=DATE(2014,9,23)),"Baseline 1",IF(AND(A944&gt;=DATE(2015,9,23),A944&lt;=DATE(2015,10,6)),"Promo 2",IF(AND(A944&gt;=DATE(2015,9,9),A944&lt;=DATE(2015,9,22)),"Baseline 2",IF(AND(A944&gt;=DATE(2016,6,23),A944&lt;=DATE(2016,7,6)),"Promo 3",IF(AND(A944&gt;=DATE(2016,6,9),A944&lt;=DATE(2016,6,22)),"Baseline 3","Other"))))))</f>
        <v>Other</v>
      </c>
    </row>
    <row r="945" customFormat="false" ht="15" hidden="false" customHeight="true" outlineLevel="0" collapsed="false">
      <c r="A945" s="12" t="n">
        <v>42581</v>
      </c>
      <c r="B945" s="13" t="n">
        <v>95343.5955121789</v>
      </c>
      <c r="C945" s="13" t="n">
        <v>81874.2888635077</v>
      </c>
      <c r="D945" s="14" t="n">
        <v>2267</v>
      </c>
      <c r="E945" s="15" t="n">
        <f aca="false">B945/D945</f>
        <v>42.0571660838901</v>
      </c>
      <c r="F945" s="15" t="n">
        <f aca="false">C945/D945</f>
        <v>36.115698660568</v>
      </c>
      <c r="G945" s="13" t="n">
        <f aca="false">B945-C945</f>
        <v>13469.3066486712</v>
      </c>
      <c r="H945" s="16" t="n">
        <f aca="false">G945/B945</f>
        <v>0.141271226203659</v>
      </c>
      <c r="I945" s="15" t="n">
        <f aca="false">G945/D945</f>
        <v>5.9414674233221</v>
      </c>
      <c r="J945" s="16" t="n">
        <f aca="false">I945/E945</f>
        <v>0.141271226203659</v>
      </c>
      <c r="K945" s="17" t="str">
        <f aca="false">TEXT(A945,"dddd")</f>
        <v>Saturday</v>
      </c>
      <c r="L945" s="17" t="str">
        <f aca="false">IF(AND(A945&gt;=DATE(2014,9,24),A945&lt;=DATE(2014,10,6)),"Promo 1",IF(AND(A945&gt;=DATE(2014,9,10),A945&lt;=DATE(2014,9,23)),"Baseline 1",IF(AND(A945&gt;=DATE(2015,9,23),A945&lt;=DATE(2015,10,6)),"Promo 2",IF(AND(A945&gt;=DATE(2015,9,9),A945&lt;=DATE(2015,9,22)),"Baseline 2",IF(AND(A945&gt;=DATE(2016,6,23),A945&lt;=DATE(2016,7,6)),"Promo 3",IF(AND(A945&gt;=DATE(2016,6,9),A945&lt;=DATE(2016,6,22)),"Baseline 3","Other"))))))</f>
        <v>Other</v>
      </c>
    </row>
    <row r="946" customFormat="false" ht="15" hidden="false" customHeight="true" outlineLevel="0" collapsed="false">
      <c r="A946" s="12" t="n">
        <v>42582</v>
      </c>
      <c r="B946" s="13" t="n">
        <v>59514.9923306399</v>
      </c>
      <c r="C946" s="13" t="n">
        <v>51145.4033412456</v>
      </c>
      <c r="D946" s="14" t="n">
        <v>1415</v>
      </c>
      <c r="E946" s="15" t="n">
        <f aca="false">B946/D946</f>
        <v>42.0600652513356</v>
      </c>
      <c r="F946" s="15" t="n">
        <f aca="false">C946/D946</f>
        <v>36.145161371905</v>
      </c>
      <c r="G946" s="13" t="n">
        <f aca="false">B946-C946</f>
        <v>8369.5889893943</v>
      </c>
      <c r="H946" s="16" t="n">
        <f aca="false">G946/B946</f>
        <v>0.140629926370425</v>
      </c>
      <c r="I946" s="15" t="n">
        <f aca="false">G946/D946</f>
        <v>5.9149038794306</v>
      </c>
      <c r="J946" s="16" t="n">
        <f aca="false">I946/E946</f>
        <v>0.140629926370425</v>
      </c>
      <c r="K946" s="17" t="str">
        <f aca="false">TEXT(A946,"dddd")</f>
        <v>Sunday</v>
      </c>
      <c r="L946" s="17" t="str">
        <f aca="false">IF(AND(A946&gt;=DATE(2014,9,24),A946&lt;=DATE(2014,10,6)),"Promo 1",IF(AND(A946&gt;=DATE(2014,9,10),A946&lt;=DATE(2014,9,23)),"Baseline 1",IF(AND(A946&gt;=DATE(2015,9,23),A946&lt;=DATE(2015,10,6)),"Promo 2",IF(AND(A946&gt;=DATE(2015,9,9),A946&lt;=DATE(2015,9,22)),"Baseline 2",IF(AND(A946&gt;=DATE(2016,6,23),A946&lt;=DATE(2016,7,6)),"Promo 3",IF(AND(A946&gt;=DATE(2016,6,9),A946&lt;=DATE(2016,6,22)),"Baseline 3","Other"))))))</f>
        <v>Other</v>
      </c>
    </row>
    <row r="947" customFormat="false" ht="15" hidden="false" customHeight="true" outlineLevel="0" collapsed="false">
      <c r="A947" s="12" t="n">
        <v>42583</v>
      </c>
      <c r="B947" s="13" t="n">
        <v>65133.9662001598</v>
      </c>
      <c r="C947" s="13" t="n">
        <v>55946.0565590771</v>
      </c>
      <c r="D947" s="14" t="n">
        <v>1548</v>
      </c>
      <c r="E947" s="15" t="n">
        <f aca="false">B947/D947</f>
        <v>42.0762055556588</v>
      </c>
      <c r="F947" s="15" t="n">
        <f aca="false">C947/D947</f>
        <v>36.1408634102565</v>
      </c>
      <c r="G947" s="13" t="n">
        <f aca="false">B947-C947</f>
        <v>9187.9096410827</v>
      </c>
      <c r="H947" s="16" t="n">
        <f aca="false">G947/B947</f>
        <v>0.141061725196464</v>
      </c>
      <c r="I947" s="15" t="n">
        <f aca="false">G947/D947</f>
        <v>5.93534214540226</v>
      </c>
      <c r="J947" s="16" t="n">
        <f aca="false">I947/E947</f>
        <v>0.141061725196464</v>
      </c>
      <c r="K947" s="17" t="str">
        <f aca="false">TEXT(A947,"dddd")</f>
        <v>Monday</v>
      </c>
      <c r="L947" s="17" t="str">
        <f aca="false">IF(AND(A947&gt;=DATE(2014,9,24),A947&lt;=DATE(2014,10,6)),"Promo 1",IF(AND(A947&gt;=DATE(2014,9,10),A947&lt;=DATE(2014,9,23)),"Baseline 1",IF(AND(A947&gt;=DATE(2015,9,23),A947&lt;=DATE(2015,10,6)),"Promo 2",IF(AND(A947&gt;=DATE(2015,9,9),A947&lt;=DATE(2015,9,22)),"Baseline 2",IF(AND(A947&gt;=DATE(2016,6,23),A947&lt;=DATE(2016,7,6)),"Promo 3",IF(AND(A947&gt;=DATE(2016,6,9),A947&lt;=DATE(2016,6,22)),"Baseline 3","Other"))))))</f>
        <v>Other</v>
      </c>
    </row>
    <row r="948" customFormat="false" ht="15" hidden="false" customHeight="true" outlineLevel="0" collapsed="false">
      <c r="A948" s="12" t="n">
        <v>42584</v>
      </c>
      <c r="B948" s="13" t="n">
        <v>70641.2537174999</v>
      </c>
      <c r="C948" s="13" t="n">
        <v>60629.5529998909</v>
      </c>
      <c r="D948" s="14" t="n">
        <v>1679</v>
      </c>
      <c r="E948" s="15" t="n">
        <f aca="false">B948/D948</f>
        <v>42.0734090038713</v>
      </c>
      <c r="F948" s="15" t="n">
        <f aca="false">C948/D948</f>
        <v>36.1105139963615</v>
      </c>
      <c r="G948" s="13" t="n">
        <f aca="false">B948-C948</f>
        <v>10011.700717609</v>
      </c>
      <c r="H948" s="16" t="n">
        <f aca="false">G948/B948</f>
        <v>0.141725977254688</v>
      </c>
      <c r="I948" s="15" t="n">
        <f aca="false">G948/D948</f>
        <v>5.96289500750983</v>
      </c>
      <c r="J948" s="16" t="n">
        <f aca="false">I948/E948</f>
        <v>0.141725977254688</v>
      </c>
      <c r="K948" s="17" t="str">
        <f aca="false">TEXT(A948,"dddd")</f>
        <v>Tuesday</v>
      </c>
      <c r="L948" s="17" t="str">
        <f aca="false">IF(AND(A948&gt;=DATE(2014,9,24),A948&lt;=DATE(2014,10,6)),"Promo 1",IF(AND(A948&gt;=DATE(2014,9,10),A948&lt;=DATE(2014,9,23)),"Baseline 1",IF(AND(A948&gt;=DATE(2015,9,23),A948&lt;=DATE(2015,10,6)),"Promo 2",IF(AND(A948&gt;=DATE(2015,9,9),A948&lt;=DATE(2015,9,22)),"Baseline 2",IF(AND(A948&gt;=DATE(2016,6,23),A948&lt;=DATE(2016,7,6)),"Promo 3",IF(AND(A948&gt;=DATE(2016,6,9),A948&lt;=DATE(2016,6,22)),"Baseline 3","Other"))))))</f>
        <v>Other</v>
      </c>
    </row>
    <row r="949" customFormat="false" ht="15" hidden="false" customHeight="true" outlineLevel="0" collapsed="false">
      <c r="A949" s="12" t="n">
        <v>42585</v>
      </c>
      <c r="B949" s="13" t="n">
        <v>48442.1714799603</v>
      </c>
      <c r="C949" s="13" t="n">
        <v>41610.7839399488</v>
      </c>
      <c r="D949" s="14" t="n">
        <v>1152</v>
      </c>
      <c r="E949" s="15" t="n">
        <f aca="false">B949/D949</f>
        <v>42.0504960763544</v>
      </c>
      <c r="F949" s="15" t="n">
        <f aca="false">C949/D949</f>
        <v>36.1204721700944</v>
      </c>
      <c r="G949" s="13" t="n">
        <f aca="false">B949-C949</f>
        <v>6831.3875400115</v>
      </c>
      <c r="H949" s="16" t="n">
        <f aca="false">G949/B949</f>
        <v>0.141021496999521</v>
      </c>
      <c r="I949" s="15" t="n">
        <f aca="false">G949/D949</f>
        <v>5.93002390625998</v>
      </c>
      <c r="J949" s="16" t="n">
        <f aca="false">I949/E949</f>
        <v>0.141021496999521</v>
      </c>
      <c r="K949" s="17" t="str">
        <f aca="false">TEXT(A949,"dddd")</f>
        <v>Wednesday</v>
      </c>
      <c r="L949" s="17" t="str">
        <f aca="false">IF(AND(A949&gt;=DATE(2014,9,24),A949&lt;=DATE(2014,10,6)),"Promo 1",IF(AND(A949&gt;=DATE(2014,9,10),A949&lt;=DATE(2014,9,23)),"Baseline 1",IF(AND(A949&gt;=DATE(2015,9,23),A949&lt;=DATE(2015,10,6)),"Promo 2",IF(AND(A949&gt;=DATE(2015,9,9),A949&lt;=DATE(2015,9,22)),"Baseline 2",IF(AND(A949&gt;=DATE(2016,6,23),A949&lt;=DATE(2016,7,6)),"Promo 3",IF(AND(A949&gt;=DATE(2016,6,9),A949&lt;=DATE(2016,6,22)),"Baseline 3","Other"))))))</f>
        <v>Other</v>
      </c>
    </row>
    <row r="950" customFormat="false" ht="15" hidden="false" customHeight="true" outlineLevel="0" collapsed="false">
      <c r="A950" s="12" t="n">
        <v>42586</v>
      </c>
      <c r="B950" s="13" t="n">
        <v>46291.3719168903</v>
      </c>
      <c r="C950" s="13" t="n">
        <v>39783.3606680546</v>
      </c>
      <c r="D950" s="14" t="n">
        <v>1101</v>
      </c>
      <c r="E950" s="15" t="n">
        <f aca="false">B950/D950</f>
        <v>42.0448427946324</v>
      </c>
      <c r="F950" s="15" t="n">
        <f aca="false">C950/D950</f>
        <v>36.1338425686236</v>
      </c>
      <c r="G950" s="13" t="n">
        <f aca="false">B950-C950</f>
        <v>6508.0112488357</v>
      </c>
      <c r="H950" s="16" t="n">
        <f aca="false">G950/B950</f>
        <v>0.140587996841397</v>
      </c>
      <c r="I950" s="15" t="n">
        <f aca="false">G950/D950</f>
        <v>5.91100022600881</v>
      </c>
      <c r="J950" s="16" t="n">
        <f aca="false">I950/E950</f>
        <v>0.140587996841397</v>
      </c>
      <c r="K950" s="17" t="str">
        <f aca="false">TEXT(A950,"dddd")</f>
        <v>Thursday</v>
      </c>
      <c r="L950" s="17" t="str">
        <f aca="false">IF(AND(A950&gt;=DATE(2014,9,24),A950&lt;=DATE(2014,10,6)),"Promo 1",IF(AND(A950&gt;=DATE(2014,9,10),A950&lt;=DATE(2014,9,23)),"Baseline 1",IF(AND(A950&gt;=DATE(2015,9,23),A950&lt;=DATE(2015,10,6)),"Promo 2",IF(AND(A950&gt;=DATE(2015,9,9),A950&lt;=DATE(2015,9,22)),"Baseline 2",IF(AND(A950&gt;=DATE(2016,6,23),A950&lt;=DATE(2016,7,6)),"Promo 3",IF(AND(A950&gt;=DATE(2016,6,9),A950&lt;=DATE(2016,6,22)),"Baseline 3","Other"))))))</f>
        <v>Other</v>
      </c>
    </row>
    <row r="951" customFormat="false" ht="15" hidden="false" customHeight="true" outlineLevel="0" collapsed="false">
      <c r="A951" s="12" t="n">
        <v>42587</v>
      </c>
      <c r="B951" s="13" t="n">
        <v>73453.1432921696</v>
      </c>
      <c r="C951" s="13" t="n">
        <v>63386.4925913612</v>
      </c>
      <c r="D951" s="14" t="n">
        <v>1746</v>
      </c>
      <c r="E951" s="15" t="n">
        <f aca="false">B951/D951</f>
        <v>42.0693833288486</v>
      </c>
      <c r="F951" s="15" t="n">
        <f aca="false">C951/D951</f>
        <v>36.3038330992905</v>
      </c>
      <c r="G951" s="13" t="n">
        <f aca="false">B951-C951</f>
        <v>10066.6507008084</v>
      </c>
      <c r="H951" s="16" t="n">
        <f aca="false">G951/B951</f>
        <v>0.137048603362922</v>
      </c>
      <c r="I951" s="15" t="n">
        <f aca="false">G951/D951</f>
        <v>5.76555022955807</v>
      </c>
      <c r="J951" s="16" t="n">
        <f aca="false">I951/E951</f>
        <v>0.137048603362922</v>
      </c>
      <c r="K951" s="17" t="str">
        <f aca="false">TEXT(A951,"dddd")</f>
        <v>Friday</v>
      </c>
      <c r="L951" s="17" t="str">
        <f aca="false">IF(AND(A951&gt;=DATE(2014,9,24),A951&lt;=DATE(2014,10,6)),"Promo 1",IF(AND(A951&gt;=DATE(2014,9,10),A951&lt;=DATE(2014,9,23)),"Baseline 1",IF(AND(A951&gt;=DATE(2015,9,23),A951&lt;=DATE(2015,10,6)),"Promo 2",IF(AND(A951&gt;=DATE(2015,9,9),A951&lt;=DATE(2015,9,22)),"Baseline 2",IF(AND(A951&gt;=DATE(2016,6,23),A951&lt;=DATE(2016,7,6)),"Promo 3",IF(AND(A951&gt;=DATE(2016,6,9),A951&lt;=DATE(2016,6,22)),"Baseline 3","Other"))))))</f>
        <v>Other</v>
      </c>
    </row>
    <row r="952" customFormat="false" ht="15" hidden="false" customHeight="true" outlineLevel="0" collapsed="false">
      <c r="A952" s="12" t="n">
        <v>42588</v>
      </c>
      <c r="B952" s="13" t="n">
        <v>71508.8979540895</v>
      </c>
      <c r="C952" s="13" t="n">
        <v>61500.5746485411</v>
      </c>
      <c r="D952" s="14" t="n">
        <v>1700</v>
      </c>
      <c r="E952" s="15" t="n">
        <f aca="false">B952/D952</f>
        <v>42.0640576200526</v>
      </c>
      <c r="F952" s="15" t="n">
        <f aca="false">C952/D952</f>
        <v>36.1768086167889</v>
      </c>
      <c r="G952" s="13" t="n">
        <f aca="false">B952-C952</f>
        <v>10008.3233055484</v>
      </c>
      <c r="H952" s="16" t="n">
        <f aca="false">G952/B952</f>
        <v>0.139959132246367</v>
      </c>
      <c r="I952" s="15" t="n">
        <f aca="false">G952/D952</f>
        <v>5.88724900326376</v>
      </c>
      <c r="J952" s="16" t="n">
        <f aca="false">I952/E952</f>
        <v>0.139959132246367</v>
      </c>
      <c r="K952" s="17" t="str">
        <f aca="false">TEXT(A952,"dddd")</f>
        <v>Saturday</v>
      </c>
      <c r="L952" s="17" t="str">
        <f aca="false">IF(AND(A952&gt;=DATE(2014,9,24),A952&lt;=DATE(2014,10,6)),"Promo 1",IF(AND(A952&gt;=DATE(2014,9,10),A952&lt;=DATE(2014,9,23)),"Baseline 1",IF(AND(A952&gt;=DATE(2015,9,23),A952&lt;=DATE(2015,10,6)),"Promo 2",IF(AND(A952&gt;=DATE(2015,9,9),A952&lt;=DATE(2015,9,22)),"Baseline 2",IF(AND(A952&gt;=DATE(2016,6,23),A952&lt;=DATE(2016,7,6)),"Promo 3",IF(AND(A952&gt;=DATE(2016,6,9),A952&lt;=DATE(2016,6,22)),"Baseline 3","Other"))))))</f>
        <v>Other</v>
      </c>
    </row>
    <row r="953" customFormat="false" ht="15" hidden="false" customHeight="true" outlineLevel="0" collapsed="false">
      <c r="A953" s="12" t="n">
        <v>42589</v>
      </c>
      <c r="B953" s="13" t="n">
        <v>30066.1261828501</v>
      </c>
      <c r="C953" s="13" t="n">
        <v>25872.4883540758</v>
      </c>
      <c r="D953" s="14" t="n">
        <v>715</v>
      </c>
      <c r="E953" s="15" t="n">
        <f aca="false">B953/D953</f>
        <v>42.0505261298603</v>
      </c>
      <c r="F953" s="15" t="n">
        <f aca="false">C953/D953</f>
        <v>36.1852983973088</v>
      </c>
      <c r="G953" s="13" t="n">
        <f aca="false">B953-C953</f>
        <v>4193.6378287743</v>
      </c>
      <c r="H953" s="16" t="n">
        <f aca="false">G953/B953</f>
        <v>0.139480483893079</v>
      </c>
      <c r="I953" s="15" t="n">
        <f aca="false">G953/D953</f>
        <v>5.86522773255147</v>
      </c>
      <c r="J953" s="16" t="n">
        <f aca="false">I953/E953</f>
        <v>0.139480483893079</v>
      </c>
      <c r="K953" s="17" t="str">
        <f aca="false">TEXT(A953,"dddd")</f>
        <v>Sunday</v>
      </c>
      <c r="L953" s="17" t="str">
        <f aca="false">IF(AND(A953&gt;=DATE(2014,9,24),A953&lt;=DATE(2014,10,6)),"Promo 1",IF(AND(A953&gt;=DATE(2014,9,10),A953&lt;=DATE(2014,9,23)),"Baseline 1",IF(AND(A953&gt;=DATE(2015,9,23),A953&lt;=DATE(2015,10,6)),"Promo 2",IF(AND(A953&gt;=DATE(2015,9,9),A953&lt;=DATE(2015,9,22)),"Baseline 2",IF(AND(A953&gt;=DATE(2016,6,23),A953&lt;=DATE(2016,7,6)),"Promo 3",IF(AND(A953&gt;=DATE(2016,6,9),A953&lt;=DATE(2016,6,22)),"Baseline 3","Other"))))))</f>
        <v>Other</v>
      </c>
    </row>
    <row r="954" customFormat="false" ht="15" hidden="false" customHeight="true" outlineLevel="0" collapsed="false">
      <c r="A954" s="12" t="n">
        <v>42590</v>
      </c>
      <c r="B954" s="13" t="n">
        <v>37726.6159031702</v>
      </c>
      <c r="C954" s="13" t="n">
        <v>32490.1360249405</v>
      </c>
      <c r="D954" s="14" t="n">
        <v>897</v>
      </c>
      <c r="E954" s="15" t="n">
        <f aca="false">B954/D954</f>
        <v>42.0586576401006</v>
      </c>
      <c r="F954" s="15" t="n">
        <f aca="false">C954/D954</f>
        <v>36.220887430257</v>
      </c>
      <c r="G954" s="13" t="n">
        <f aca="false">B954-C954</f>
        <v>5236.4798782297</v>
      </c>
      <c r="H954" s="16" t="n">
        <f aca="false">G954/B954</f>
        <v>0.138800678324018</v>
      </c>
      <c r="I954" s="15" t="n">
        <f aca="false">G954/D954</f>
        <v>5.83777020984359</v>
      </c>
      <c r="J954" s="16" t="n">
        <f aca="false">I954/E954</f>
        <v>0.138800678324018</v>
      </c>
      <c r="K954" s="17" t="str">
        <f aca="false">TEXT(A954,"dddd")</f>
        <v>Monday</v>
      </c>
      <c r="L954" s="17" t="str">
        <f aca="false">IF(AND(A954&gt;=DATE(2014,9,24),A954&lt;=DATE(2014,10,6)),"Promo 1",IF(AND(A954&gt;=DATE(2014,9,10),A954&lt;=DATE(2014,9,23)),"Baseline 1",IF(AND(A954&gt;=DATE(2015,9,23),A954&lt;=DATE(2015,10,6)),"Promo 2",IF(AND(A954&gt;=DATE(2015,9,9),A954&lt;=DATE(2015,9,22)),"Baseline 2",IF(AND(A954&gt;=DATE(2016,6,23),A954&lt;=DATE(2016,7,6)),"Promo 3",IF(AND(A954&gt;=DATE(2016,6,9),A954&lt;=DATE(2016,6,22)),"Baseline 3","Other"))))))</f>
        <v>Other</v>
      </c>
    </row>
    <row r="955" customFormat="false" ht="15" hidden="false" customHeight="true" outlineLevel="0" collapsed="false">
      <c r="A955" s="12" t="n">
        <v>42591</v>
      </c>
      <c r="B955" s="13" t="n">
        <v>30831.6946269003</v>
      </c>
      <c r="C955" s="13" t="n">
        <v>26577.0794485226</v>
      </c>
      <c r="D955" s="14" t="n">
        <v>733</v>
      </c>
      <c r="E955" s="15" t="n">
        <f aca="false">B955/D955</f>
        <v>42.0623391908599</v>
      </c>
      <c r="F955" s="15" t="n">
        <f aca="false">C955/D955</f>
        <v>36.2579528629231</v>
      </c>
      <c r="G955" s="13" t="n">
        <f aca="false">B955-C955</f>
        <v>4254.6151783777</v>
      </c>
      <c r="H955" s="16" t="n">
        <f aca="false">G955/B955</f>
        <v>0.137994853343728</v>
      </c>
      <c r="I955" s="15" t="n">
        <f aca="false">G955/D955</f>
        <v>5.80438632793683</v>
      </c>
      <c r="J955" s="16" t="n">
        <f aca="false">I955/E955</f>
        <v>0.137994853343728</v>
      </c>
      <c r="K955" s="17" t="str">
        <f aca="false">TEXT(A955,"dddd")</f>
        <v>Tuesday</v>
      </c>
      <c r="L955" s="17" t="str">
        <f aca="false">IF(AND(A955&gt;=DATE(2014,9,24),A955&lt;=DATE(2014,10,6)),"Promo 1",IF(AND(A955&gt;=DATE(2014,9,10),A955&lt;=DATE(2014,9,23)),"Baseline 1",IF(AND(A955&gt;=DATE(2015,9,23),A955&lt;=DATE(2015,10,6)),"Promo 2",IF(AND(A955&gt;=DATE(2015,9,9),A955&lt;=DATE(2015,9,22)),"Baseline 2",IF(AND(A955&gt;=DATE(2016,6,23),A955&lt;=DATE(2016,7,6)),"Promo 3",IF(AND(A955&gt;=DATE(2016,6,9),A955&lt;=DATE(2016,6,22)),"Baseline 3","Other"))))))</f>
        <v>Other</v>
      </c>
    </row>
    <row r="956" customFormat="false" ht="15" hidden="false" customHeight="true" outlineLevel="0" collapsed="false">
      <c r="A956" s="12" t="n">
        <v>42592</v>
      </c>
      <c r="B956" s="13" t="n">
        <v>146811.45511516</v>
      </c>
      <c r="C956" s="13" t="n">
        <v>155135.629111836</v>
      </c>
      <c r="D956" s="14" t="n">
        <v>4282</v>
      </c>
      <c r="E956" s="15" t="n">
        <f aca="false">B956/D956</f>
        <v>34.285720484624</v>
      </c>
      <c r="F956" s="15" t="n">
        <f aca="false">C956/D956</f>
        <v>36.2297125436329</v>
      </c>
      <c r="G956" s="13" t="n">
        <f aca="false">B956-C956</f>
        <v>-8324.17399667599</v>
      </c>
      <c r="H956" s="16" t="n">
        <f aca="false">G956/B956</f>
        <v>-0.0566997581363556</v>
      </c>
      <c r="I956" s="15" t="n">
        <f aca="false">G956/D956</f>
        <v>-1.94399205900887</v>
      </c>
      <c r="J956" s="16" t="n">
        <f aca="false">I956/E956</f>
        <v>-0.0566997581363556</v>
      </c>
      <c r="K956" s="17" t="str">
        <f aca="false">TEXT(A956,"dddd")</f>
        <v>Wednesday</v>
      </c>
      <c r="L956" s="17" t="str">
        <f aca="false">IF(AND(A956&gt;=DATE(2014,9,24),A956&lt;=DATE(2014,10,6)),"Promo 1",IF(AND(A956&gt;=DATE(2014,9,10),A956&lt;=DATE(2014,9,23)),"Baseline 1",IF(AND(A956&gt;=DATE(2015,9,23),A956&lt;=DATE(2015,10,6)),"Promo 2",IF(AND(A956&gt;=DATE(2015,9,9),A956&lt;=DATE(2015,9,22)),"Baseline 2",IF(AND(A956&gt;=DATE(2016,6,23),A956&lt;=DATE(2016,7,6)),"Promo 3",IF(AND(A956&gt;=DATE(2016,6,9),A956&lt;=DATE(2016,6,22)),"Baseline 3","Other"))))))</f>
        <v>Other</v>
      </c>
    </row>
    <row r="957" customFormat="false" ht="15" hidden="false" customHeight="true" outlineLevel="0" collapsed="false">
      <c r="A957" s="12" t="n">
        <v>42593</v>
      </c>
      <c r="B957" s="13" t="n">
        <v>99867.3296190874</v>
      </c>
      <c r="C957" s="13" t="n">
        <v>103826.701412471</v>
      </c>
      <c r="D957" s="14" t="n">
        <v>2867</v>
      </c>
      <c r="E957" s="15" t="n">
        <f aca="false">B957/D957</f>
        <v>34.8333901705921</v>
      </c>
      <c r="F957" s="15" t="n">
        <f aca="false">C957/D957</f>
        <v>36.2144057943743</v>
      </c>
      <c r="G957" s="13" t="n">
        <f aca="false">B957-C957</f>
        <v>-3959.3717933836</v>
      </c>
      <c r="H957" s="16" t="n">
        <f aca="false">G957/B957</f>
        <v>-0.0396463168534233</v>
      </c>
      <c r="I957" s="15" t="n">
        <f aca="false">G957/D957</f>
        <v>-1.38101562378221</v>
      </c>
      <c r="J957" s="16" t="n">
        <f aca="false">I957/E957</f>
        <v>-0.0396463168534233</v>
      </c>
      <c r="K957" s="17" t="str">
        <f aca="false">TEXT(A957,"dddd")</f>
        <v>Thursday</v>
      </c>
      <c r="L957" s="17" t="str">
        <f aca="false">IF(AND(A957&gt;=DATE(2014,9,24),A957&lt;=DATE(2014,10,6)),"Promo 1",IF(AND(A957&gt;=DATE(2014,9,10),A957&lt;=DATE(2014,9,23)),"Baseline 1",IF(AND(A957&gt;=DATE(2015,9,23),A957&lt;=DATE(2015,10,6)),"Promo 2",IF(AND(A957&gt;=DATE(2015,9,9),A957&lt;=DATE(2015,9,22)),"Baseline 2",IF(AND(A957&gt;=DATE(2016,6,23),A957&lt;=DATE(2016,7,6)),"Promo 3",IF(AND(A957&gt;=DATE(2016,6,9),A957&lt;=DATE(2016,6,22)),"Baseline 3","Other"))))))</f>
        <v>Other</v>
      </c>
    </row>
    <row r="958" customFormat="false" ht="15" hidden="false" customHeight="true" outlineLevel="0" collapsed="false">
      <c r="A958" s="12" t="n">
        <v>42594</v>
      </c>
      <c r="B958" s="13" t="n">
        <v>210664.862781478</v>
      </c>
      <c r="C958" s="13" t="n">
        <v>220379.276676556</v>
      </c>
      <c r="D958" s="14" t="n">
        <v>6082</v>
      </c>
      <c r="E958" s="15" t="n">
        <f aca="false">B958/D958</f>
        <v>34.637432223196</v>
      </c>
      <c r="F958" s="15" t="n">
        <f aca="false">C958/D958</f>
        <v>36.234672258559</v>
      </c>
      <c r="G958" s="13" t="n">
        <f aca="false">B958-C958</f>
        <v>-9714.413895078</v>
      </c>
      <c r="H958" s="16" t="n">
        <f aca="false">G958/B958</f>
        <v>-0.0461131190404293</v>
      </c>
      <c r="I958" s="15" t="n">
        <f aca="false">G958/D958</f>
        <v>-1.59724003536304</v>
      </c>
      <c r="J958" s="16" t="n">
        <f aca="false">I958/E958</f>
        <v>-0.0461131190404293</v>
      </c>
      <c r="K958" s="17" t="str">
        <f aca="false">TEXT(A958,"dddd")</f>
        <v>Friday</v>
      </c>
      <c r="L958" s="17" t="str">
        <f aca="false">IF(AND(A958&gt;=DATE(2014,9,24),A958&lt;=DATE(2014,10,6)),"Promo 1",IF(AND(A958&gt;=DATE(2014,9,10),A958&lt;=DATE(2014,9,23)),"Baseline 1",IF(AND(A958&gt;=DATE(2015,9,23),A958&lt;=DATE(2015,10,6)),"Promo 2",IF(AND(A958&gt;=DATE(2015,9,9),A958&lt;=DATE(2015,9,22)),"Baseline 2",IF(AND(A958&gt;=DATE(2016,6,23),A958&lt;=DATE(2016,7,6)),"Promo 3",IF(AND(A958&gt;=DATE(2016,6,9),A958&lt;=DATE(2016,6,22)),"Baseline 3","Other"))))))</f>
        <v>Other</v>
      </c>
    </row>
    <row r="959" customFormat="false" ht="15" hidden="false" customHeight="true" outlineLevel="0" collapsed="false">
      <c r="A959" s="12" t="n">
        <v>42595</v>
      </c>
      <c r="B959" s="13" t="n">
        <v>266271.039073093</v>
      </c>
      <c r="C959" s="13" t="n">
        <v>281658.418319123</v>
      </c>
      <c r="D959" s="14" t="n">
        <v>7771</v>
      </c>
      <c r="E959" s="15" t="n">
        <f aca="false">B959/D959</f>
        <v>34.2647071256071</v>
      </c>
      <c r="F959" s="15" t="n">
        <f aca="false">C959/D959</f>
        <v>36.2448099754373</v>
      </c>
      <c r="G959" s="13" t="n">
        <f aca="false">B959-C959</f>
        <v>-15387.37924603</v>
      </c>
      <c r="H959" s="16" t="n">
        <f aca="false">G959/B959</f>
        <v>-0.0577884072544821</v>
      </c>
      <c r="I959" s="15" t="n">
        <f aca="false">G959/D959</f>
        <v>-1.98010284983014</v>
      </c>
      <c r="J959" s="16" t="n">
        <f aca="false">I959/E959</f>
        <v>-0.0577884072544821</v>
      </c>
      <c r="K959" s="17" t="str">
        <f aca="false">TEXT(A959,"dddd")</f>
        <v>Saturday</v>
      </c>
      <c r="L959" s="17" t="str">
        <f aca="false">IF(AND(A959&gt;=DATE(2014,9,24),A959&lt;=DATE(2014,10,6)),"Promo 1",IF(AND(A959&gt;=DATE(2014,9,10),A959&lt;=DATE(2014,9,23)),"Baseline 1",IF(AND(A959&gt;=DATE(2015,9,23),A959&lt;=DATE(2015,10,6)),"Promo 2",IF(AND(A959&gt;=DATE(2015,9,9),A959&lt;=DATE(2015,9,22)),"Baseline 2",IF(AND(A959&gt;=DATE(2016,6,23),A959&lt;=DATE(2016,7,6)),"Promo 3",IF(AND(A959&gt;=DATE(2016,6,9),A959&lt;=DATE(2016,6,22)),"Baseline 3","Other"))))))</f>
        <v>Other</v>
      </c>
    </row>
    <row r="960" customFormat="false" ht="15" hidden="false" customHeight="true" outlineLevel="0" collapsed="false">
      <c r="A960" s="12" t="n">
        <v>42596</v>
      </c>
      <c r="B960" s="13" t="n">
        <v>123084.039069415</v>
      </c>
      <c r="C960" s="13" t="n">
        <v>129601.527226619</v>
      </c>
      <c r="D960" s="14" t="n">
        <v>3576</v>
      </c>
      <c r="E960" s="15" t="n">
        <f aca="false">B960/D960</f>
        <v>34.4194740126999</v>
      </c>
      <c r="F960" s="15" t="n">
        <f aca="false">C960/D960</f>
        <v>36.2420378150501</v>
      </c>
      <c r="G960" s="13" t="n">
        <f aca="false">B960-C960</f>
        <v>-6517.488157204</v>
      </c>
      <c r="H960" s="16" t="n">
        <f aca="false">G960/B960</f>
        <v>-0.0529515297554411</v>
      </c>
      <c r="I960" s="15" t="n">
        <f aca="false">G960/D960</f>
        <v>-1.82256380235011</v>
      </c>
      <c r="J960" s="16" t="n">
        <f aca="false">I960/E960</f>
        <v>-0.0529515297554411</v>
      </c>
      <c r="K960" s="17" t="str">
        <f aca="false">TEXT(A960,"dddd")</f>
        <v>Sunday</v>
      </c>
      <c r="L960" s="17" t="str">
        <f aca="false">IF(AND(A960&gt;=DATE(2014,9,24),A960&lt;=DATE(2014,10,6)),"Promo 1",IF(AND(A960&gt;=DATE(2014,9,10),A960&lt;=DATE(2014,9,23)),"Baseline 1",IF(AND(A960&gt;=DATE(2015,9,23),A960&lt;=DATE(2015,10,6)),"Promo 2",IF(AND(A960&gt;=DATE(2015,9,9),A960&lt;=DATE(2015,9,22)),"Baseline 2",IF(AND(A960&gt;=DATE(2016,6,23),A960&lt;=DATE(2016,7,6)),"Promo 3",IF(AND(A960&gt;=DATE(2016,6,9),A960&lt;=DATE(2016,6,22)),"Baseline 3","Other"))))))</f>
        <v>Other</v>
      </c>
    </row>
    <row r="961" customFormat="false" ht="15" hidden="false" customHeight="true" outlineLevel="0" collapsed="false">
      <c r="A961" s="12" t="n">
        <v>42597</v>
      </c>
      <c r="B961" s="13" t="n">
        <v>162727.524777145</v>
      </c>
      <c r="C961" s="13" t="n">
        <v>168580.170571439</v>
      </c>
      <c r="D961" s="14" t="n">
        <v>4649</v>
      </c>
      <c r="E961" s="15" t="n">
        <f aca="false">B961/D961</f>
        <v>35.0026940798333</v>
      </c>
      <c r="F961" s="15" t="n">
        <f aca="false">C961/D961</f>
        <v>36.2615983160764</v>
      </c>
      <c r="G961" s="13" t="n">
        <f aca="false">B961-C961</f>
        <v>-5852.64579429399</v>
      </c>
      <c r="H961" s="16" t="n">
        <f aca="false">G961/B961</f>
        <v>-0.0359659240334982</v>
      </c>
      <c r="I961" s="15" t="n">
        <f aca="false">G961/D961</f>
        <v>-1.25890423624306</v>
      </c>
      <c r="J961" s="16" t="n">
        <f aca="false">I961/E961</f>
        <v>-0.0359659240334982</v>
      </c>
      <c r="K961" s="17" t="str">
        <f aca="false">TEXT(A961,"dddd")</f>
        <v>Monday</v>
      </c>
      <c r="L961" s="17" t="str">
        <f aca="false">IF(AND(A961&gt;=DATE(2014,9,24),A961&lt;=DATE(2014,10,6)),"Promo 1",IF(AND(A961&gt;=DATE(2014,9,10),A961&lt;=DATE(2014,9,23)),"Baseline 1",IF(AND(A961&gt;=DATE(2015,9,23),A961&lt;=DATE(2015,10,6)),"Promo 2",IF(AND(A961&gt;=DATE(2015,9,9),A961&lt;=DATE(2015,9,22)),"Baseline 2",IF(AND(A961&gt;=DATE(2016,6,23),A961&lt;=DATE(2016,7,6)),"Promo 3",IF(AND(A961&gt;=DATE(2016,6,9),A961&lt;=DATE(2016,6,22)),"Baseline 3","Other"))))))</f>
        <v>Other</v>
      </c>
    </row>
    <row r="962" customFormat="false" ht="15" hidden="false" customHeight="true" outlineLevel="0" collapsed="false">
      <c r="A962" s="12" t="n">
        <v>42598</v>
      </c>
      <c r="B962" s="13" t="n">
        <v>114708.945994047</v>
      </c>
      <c r="C962" s="13" t="n">
        <v>119758.061703468</v>
      </c>
      <c r="D962" s="14" t="n">
        <v>3302</v>
      </c>
      <c r="E962" s="15" t="n">
        <f aca="false">B962/D962</f>
        <v>34.7392325845085</v>
      </c>
      <c r="F962" s="15" t="n">
        <f aca="false">C962/D962</f>
        <v>36.2683409156475</v>
      </c>
      <c r="G962" s="13" t="n">
        <f aca="false">B962-C962</f>
        <v>-5049.11570942101</v>
      </c>
      <c r="H962" s="16" t="n">
        <f aca="false">G962/B962</f>
        <v>-0.0440167561968797</v>
      </c>
      <c r="I962" s="15" t="n">
        <f aca="false">G962/D962</f>
        <v>-1.52910833113901</v>
      </c>
      <c r="J962" s="16" t="n">
        <f aca="false">I962/E962</f>
        <v>-0.0440167561968797</v>
      </c>
      <c r="K962" s="17" t="str">
        <f aca="false">TEXT(A962,"dddd")</f>
        <v>Tuesday</v>
      </c>
      <c r="L962" s="17" t="str">
        <f aca="false">IF(AND(A962&gt;=DATE(2014,9,24),A962&lt;=DATE(2014,10,6)),"Promo 1",IF(AND(A962&gt;=DATE(2014,9,10),A962&lt;=DATE(2014,9,23)),"Baseline 1",IF(AND(A962&gt;=DATE(2015,9,23),A962&lt;=DATE(2015,10,6)),"Promo 2",IF(AND(A962&gt;=DATE(2015,9,9),A962&lt;=DATE(2015,9,22)),"Baseline 2",IF(AND(A962&gt;=DATE(2016,6,23),A962&lt;=DATE(2016,7,6)),"Promo 3",IF(AND(A962&gt;=DATE(2016,6,9),A962&lt;=DATE(2016,6,22)),"Baseline 3","Other"))))))</f>
        <v>Other</v>
      </c>
    </row>
    <row r="963" customFormat="false" ht="15" hidden="false" customHeight="true" outlineLevel="0" collapsed="false">
      <c r="A963" s="12" t="n">
        <v>42599</v>
      </c>
      <c r="B963" s="13" t="n">
        <v>122318.907468986</v>
      </c>
      <c r="C963" s="13" t="n">
        <v>128298.343456949</v>
      </c>
      <c r="D963" s="14" t="n">
        <v>3536</v>
      </c>
      <c r="E963" s="15" t="n">
        <f aca="false">B963/D963</f>
        <v>34.5924512072924</v>
      </c>
      <c r="F963" s="15" t="n">
        <f aca="false">C963/D963</f>
        <v>36.2834681722141</v>
      </c>
      <c r="G963" s="13" t="n">
        <f aca="false">B963-C963</f>
        <v>-5979.43598796301</v>
      </c>
      <c r="H963" s="16" t="n">
        <f aca="false">G963/B963</f>
        <v>-0.0488839878616402</v>
      </c>
      <c r="I963" s="15" t="n">
        <f aca="false">G963/D963</f>
        <v>-1.69101696492166</v>
      </c>
      <c r="J963" s="16" t="n">
        <f aca="false">I963/E963</f>
        <v>-0.0488839878616402</v>
      </c>
      <c r="K963" s="17" t="str">
        <f aca="false">TEXT(A963,"dddd")</f>
        <v>Wednesday</v>
      </c>
      <c r="L963" s="17" t="str">
        <f aca="false">IF(AND(A963&gt;=DATE(2014,9,24),A963&lt;=DATE(2014,10,6)),"Promo 1",IF(AND(A963&gt;=DATE(2014,9,10),A963&lt;=DATE(2014,9,23)),"Baseline 1",IF(AND(A963&gt;=DATE(2015,9,23),A963&lt;=DATE(2015,10,6)),"Promo 2",IF(AND(A963&gt;=DATE(2015,9,9),A963&lt;=DATE(2015,9,22)),"Baseline 2",IF(AND(A963&gt;=DATE(2016,6,23),A963&lt;=DATE(2016,7,6)),"Promo 3",IF(AND(A963&gt;=DATE(2016,6,9),A963&lt;=DATE(2016,6,22)),"Baseline 3","Other"))))))</f>
        <v>Other</v>
      </c>
    </row>
    <row r="964" customFormat="false" ht="15" hidden="false" customHeight="true" outlineLevel="0" collapsed="false">
      <c r="A964" s="12" t="n">
        <v>42600</v>
      </c>
      <c r="B964" s="13" t="n">
        <v>112010.344531497</v>
      </c>
      <c r="C964" s="13" t="n">
        <v>117374.19157936</v>
      </c>
      <c r="D964" s="14" t="n">
        <v>3236</v>
      </c>
      <c r="E964" s="15" t="n">
        <f aca="false">B964/D964</f>
        <v>34.613827111093</v>
      </c>
      <c r="F964" s="15" t="n">
        <f aca="false">C964/D964</f>
        <v>36.2713818230408</v>
      </c>
      <c r="G964" s="13" t="n">
        <f aca="false">B964-C964</f>
        <v>-5363.847047863</v>
      </c>
      <c r="H964" s="16" t="n">
        <f aca="false">G964/B964</f>
        <v>-0.0478870685586964</v>
      </c>
      <c r="I964" s="15" t="n">
        <f aca="false">G964/D964</f>
        <v>-1.65755471194778</v>
      </c>
      <c r="J964" s="16" t="n">
        <f aca="false">I964/E964</f>
        <v>-0.0478870685586964</v>
      </c>
      <c r="K964" s="17" t="str">
        <f aca="false">TEXT(A964,"dddd")</f>
        <v>Thursday</v>
      </c>
      <c r="L964" s="17" t="str">
        <f aca="false">IF(AND(A964&gt;=DATE(2014,9,24),A964&lt;=DATE(2014,10,6)),"Promo 1",IF(AND(A964&gt;=DATE(2014,9,10),A964&lt;=DATE(2014,9,23)),"Baseline 1",IF(AND(A964&gt;=DATE(2015,9,23),A964&lt;=DATE(2015,10,6)),"Promo 2",IF(AND(A964&gt;=DATE(2015,9,9),A964&lt;=DATE(2015,9,22)),"Baseline 2",IF(AND(A964&gt;=DATE(2016,6,23),A964&lt;=DATE(2016,7,6)),"Promo 3",IF(AND(A964&gt;=DATE(2016,6,9),A964&lt;=DATE(2016,6,22)),"Baseline 3","Other"))))))</f>
        <v>Other</v>
      </c>
    </row>
    <row r="965" customFormat="false" ht="15" hidden="false" customHeight="true" outlineLevel="0" collapsed="false">
      <c r="A965" s="12" t="n">
        <v>42601</v>
      </c>
      <c r="B965" s="13" t="n">
        <v>229861.47028058</v>
      </c>
      <c r="C965" s="13" t="n">
        <v>241090.133556305</v>
      </c>
      <c r="D965" s="14" t="n">
        <v>6646</v>
      </c>
      <c r="E965" s="15" t="n">
        <f aca="false">B965/D965</f>
        <v>34.5864385014415</v>
      </c>
      <c r="F965" s="15" t="n">
        <f aca="false">C965/D965</f>
        <v>36.2759755576745</v>
      </c>
      <c r="G965" s="13" t="n">
        <f aca="false">B965-C965</f>
        <v>-11228.663275725</v>
      </c>
      <c r="H965" s="16" t="n">
        <f aca="false">G965/B965</f>
        <v>-0.048849697437412</v>
      </c>
      <c r="I965" s="15" t="n">
        <f aca="false">G965/D965</f>
        <v>-1.68953705623307</v>
      </c>
      <c r="J965" s="16" t="n">
        <f aca="false">I965/E965</f>
        <v>-0.048849697437412</v>
      </c>
      <c r="K965" s="17" t="str">
        <f aca="false">TEXT(A965,"dddd")</f>
        <v>Friday</v>
      </c>
      <c r="L965" s="17" t="str">
        <f aca="false">IF(AND(A965&gt;=DATE(2014,9,24),A965&lt;=DATE(2014,10,6)),"Promo 1",IF(AND(A965&gt;=DATE(2014,9,10),A965&lt;=DATE(2014,9,23)),"Baseline 1",IF(AND(A965&gt;=DATE(2015,9,23),A965&lt;=DATE(2015,10,6)),"Promo 2",IF(AND(A965&gt;=DATE(2015,9,9),A965&lt;=DATE(2015,9,22)),"Baseline 2",IF(AND(A965&gt;=DATE(2016,6,23),A965&lt;=DATE(2016,7,6)),"Promo 3",IF(AND(A965&gt;=DATE(2016,6,9),A965&lt;=DATE(2016,6,22)),"Baseline 3","Other"))))))</f>
        <v>Other</v>
      </c>
    </row>
    <row r="966" customFormat="false" ht="15" hidden="false" customHeight="true" outlineLevel="0" collapsed="false">
      <c r="A966" s="12" t="n">
        <v>42602</v>
      </c>
      <c r="B966" s="13" t="n">
        <v>249981.249694195</v>
      </c>
      <c r="C966" s="13" t="n">
        <v>262145.17733742</v>
      </c>
      <c r="D966" s="14" t="n">
        <v>7220</v>
      </c>
      <c r="E966" s="15" t="n">
        <f aca="false">B966/D966</f>
        <v>34.6234417858996</v>
      </c>
      <c r="F966" s="15" t="n">
        <f aca="false">C966/D966</f>
        <v>36.3081963071219</v>
      </c>
      <c r="G966" s="13" t="n">
        <f aca="false">B966-C966</f>
        <v>-12163.927643225</v>
      </c>
      <c r="H966" s="16" t="n">
        <f aca="false">G966/B966</f>
        <v>-0.0486593600844275</v>
      </c>
      <c r="I966" s="15" t="n">
        <f aca="false">G966/D966</f>
        <v>-1.6847545212223</v>
      </c>
      <c r="J966" s="16" t="n">
        <f aca="false">I966/E966</f>
        <v>-0.0486593600844275</v>
      </c>
      <c r="K966" s="17" t="str">
        <f aca="false">TEXT(A966,"dddd")</f>
        <v>Saturday</v>
      </c>
      <c r="L966" s="17" t="str">
        <f aca="false">IF(AND(A966&gt;=DATE(2014,9,24),A966&lt;=DATE(2014,10,6)),"Promo 1",IF(AND(A966&gt;=DATE(2014,9,10),A966&lt;=DATE(2014,9,23)),"Baseline 1",IF(AND(A966&gt;=DATE(2015,9,23),A966&lt;=DATE(2015,10,6)),"Promo 2",IF(AND(A966&gt;=DATE(2015,9,9),A966&lt;=DATE(2015,9,22)),"Baseline 2",IF(AND(A966&gt;=DATE(2016,6,23),A966&lt;=DATE(2016,7,6)),"Promo 3",IF(AND(A966&gt;=DATE(2016,6,9),A966&lt;=DATE(2016,6,22)),"Baseline 3","Other"))))))</f>
        <v>Other</v>
      </c>
    </row>
    <row r="967" customFormat="false" ht="15" hidden="false" customHeight="true" outlineLevel="0" collapsed="false">
      <c r="A967" s="12" t="n">
        <v>42603</v>
      </c>
      <c r="B967" s="13" t="n">
        <v>136480.2491167</v>
      </c>
      <c r="C967" s="13" t="n">
        <v>143734.227215171</v>
      </c>
      <c r="D967" s="14" t="n">
        <v>3958</v>
      </c>
      <c r="E967" s="15" t="n">
        <f aca="false">B967/D967</f>
        <v>34.4821245873421</v>
      </c>
      <c r="F967" s="15" t="n">
        <f aca="false">C967/D967</f>
        <v>36.3148628638633</v>
      </c>
      <c r="G967" s="13" t="n">
        <f aca="false">B967-C967</f>
        <v>-7253.97809847101</v>
      </c>
      <c r="H967" s="16" t="n">
        <f aca="false">G967/B967</f>
        <v>-0.0531503872935369</v>
      </c>
      <c r="I967" s="15" t="n">
        <f aca="false">G967/D967</f>
        <v>-1.83273827652123</v>
      </c>
      <c r="J967" s="16" t="n">
        <f aca="false">I967/E967</f>
        <v>-0.0531503872935369</v>
      </c>
      <c r="K967" s="17" t="str">
        <f aca="false">TEXT(A967,"dddd")</f>
        <v>Sunday</v>
      </c>
      <c r="L967" s="17" t="str">
        <f aca="false">IF(AND(A967&gt;=DATE(2014,9,24),A967&lt;=DATE(2014,10,6)),"Promo 1",IF(AND(A967&gt;=DATE(2014,9,10),A967&lt;=DATE(2014,9,23)),"Baseline 1",IF(AND(A967&gt;=DATE(2015,9,23),A967&lt;=DATE(2015,10,6)),"Promo 2",IF(AND(A967&gt;=DATE(2015,9,9),A967&lt;=DATE(2015,9,22)),"Baseline 2",IF(AND(A967&gt;=DATE(2016,6,23),A967&lt;=DATE(2016,7,6)),"Promo 3",IF(AND(A967&gt;=DATE(2016,6,9),A967&lt;=DATE(2016,6,22)),"Baseline 3","Other"))))))</f>
        <v>Other</v>
      </c>
    </row>
    <row r="968" customFormat="false" ht="15" hidden="false" customHeight="true" outlineLevel="0" collapsed="false">
      <c r="A968" s="12" t="n">
        <v>42604</v>
      </c>
      <c r="B968" s="13" t="n">
        <v>127369.802614331</v>
      </c>
      <c r="C968" s="13" t="n">
        <v>133350.161382229</v>
      </c>
      <c r="D968" s="14" t="n">
        <v>3672</v>
      </c>
      <c r="E968" s="15" t="n">
        <f aca="false">B968/D968</f>
        <v>34.6867654178461</v>
      </c>
      <c r="F968" s="15" t="n">
        <f aca="false">C968/D968</f>
        <v>36.315403426533</v>
      </c>
      <c r="G968" s="13" t="n">
        <f aca="false">B968-C968</f>
        <v>-5980.35876789801</v>
      </c>
      <c r="H968" s="16" t="n">
        <f aca="false">G968/B968</f>
        <v>-0.0469527207010458</v>
      </c>
      <c r="I968" s="15" t="n">
        <f aca="false">G968/D968</f>
        <v>-1.62863800868682</v>
      </c>
      <c r="J968" s="16" t="n">
        <f aca="false">I968/E968</f>
        <v>-0.0469527207010458</v>
      </c>
      <c r="K968" s="17" t="str">
        <f aca="false">TEXT(A968,"dddd")</f>
        <v>Monday</v>
      </c>
      <c r="L968" s="17" t="str">
        <f aca="false">IF(AND(A968&gt;=DATE(2014,9,24),A968&lt;=DATE(2014,10,6)),"Promo 1",IF(AND(A968&gt;=DATE(2014,9,10),A968&lt;=DATE(2014,9,23)),"Baseline 1",IF(AND(A968&gt;=DATE(2015,9,23),A968&lt;=DATE(2015,10,6)),"Promo 2",IF(AND(A968&gt;=DATE(2015,9,9),A968&lt;=DATE(2015,9,22)),"Baseline 2",IF(AND(A968&gt;=DATE(2016,6,23),A968&lt;=DATE(2016,7,6)),"Promo 3",IF(AND(A968&gt;=DATE(2016,6,9),A968&lt;=DATE(2016,6,22)),"Baseline 3","Other"))))))</f>
        <v>Other</v>
      </c>
    </row>
    <row r="969" customFormat="false" ht="15" hidden="false" customHeight="true" outlineLevel="0" collapsed="false">
      <c r="A969" s="12" t="n">
        <v>42605</v>
      </c>
      <c r="B969" s="13" t="n">
        <v>43537.7281582203</v>
      </c>
      <c r="C969" s="13" t="n">
        <v>37649.3875279995</v>
      </c>
      <c r="D969" s="14" t="n">
        <v>1035</v>
      </c>
      <c r="E969" s="15" t="n">
        <f aca="false">B969/D969</f>
        <v>42.0654378340293</v>
      </c>
      <c r="F969" s="15" t="n">
        <f aca="false">C969/D969</f>
        <v>36.3762198338159</v>
      </c>
      <c r="G969" s="13" t="n">
        <f aca="false">B969-C969</f>
        <v>5888.3406302208</v>
      </c>
      <c r="H969" s="16" t="n">
        <f aca="false">G969/B969</f>
        <v>0.135246850934022</v>
      </c>
      <c r="I969" s="15" t="n">
        <f aca="false">G969/D969</f>
        <v>5.68921800021334</v>
      </c>
      <c r="J969" s="16" t="n">
        <f aca="false">I969/E969</f>
        <v>0.135246850934022</v>
      </c>
      <c r="K969" s="17" t="str">
        <f aca="false">TEXT(A969,"dddd")</f>
        <v>Tuesday</v>
      </c>
      <c r="L969" s="17" t="str">
        <f aca="false">IF(AND(A969&gt;=DATE(2014,9,24),A969&lt;=DATE(2014,10,6)),"Promo 1",IF(AND(A969&gt;=DATE(2014,9,10),A969&lt;=DATE(2014,9,23)),"Baseline 1",IF(AND(A969&gt;=DATE(2015,9,23),A969&lt;=DATE(2015,10,6)),"Promo 2",IF(AND(A969&gt;=DATE(2015,9,9),A969&lt;=DATE(2015,9,22)),"Baseline 2",IF(AND(A969&gt;=DATE(2016,6,23),A969&lt;=DATE(2016,7,6)),"Promo 3",IF(AND(A969&gt;=DATE(2016,6,9),A969&lt;=DATE(2016,6,22)),"Baseline 3","Other"))))))</f>
        <v>Other</v>
      </c>
    </row>
    <row r="970" customFormat="false" ht="15" hidden="false" customHeight="true" outlineLevel="0" collapsed="false">
      <c r="A970" s="12" t="n">
        <v>42606</v>
      </c>
      <c r="B970" s="13" t="n">
        <v>120407.413267863</v>
      </c>
      <c r="C970" s="13" t="n">
        <v>127699.415911396</v>
      </c>
      <c r="D970" s="14" t="n">
        <v>3549</v>
      </c>
      <c r="E970" s="15" t="n">
        <f aca="false">B970/D970</f>
        <v>33.9271381425368</v>
      </c>
      <c r="F970" s="15" t="n">
        <f aca="false">C970/D970</f>
        <v>35.9818021728363</v>
      </c>
      <c r="G970" s="13" t="n">
        <f aca="false">B970-C970</f>
        <v>-7292.00264353301</v>
      </c>
      <c r="H970" s="16" t="n">
        <f aca="false">G970/B970</f>
        <v>-0.0605610771432398</v>
      </c>
      <c r="I970" s="15" t="n">
        <f aca="false">G970/D970</f>
        <v>-2.05466403029952</v>
      </c>
      <c r="J970" s="16" t="n">
        <f aca="false">I970/E970</f>
        <v>-0.0605610771432398</v>
      </c>
      <c r="K970" s="17" t="str">
        <f aca="false">TEXT(A970,"dddd")</f>
        <v>Wednesday</v>
      </c>
      <c r="L970" s="17" t="str">
        <f aca="false">IF(AND(A970&gt;=DATE(2014,9,24),A970&lt;=DATE(2014,10,6)),"Promo 1",IF(AND(A970&gt;=DATE(2014,9,10),A970&lt;=DATE(2014,9,23)),"Baseline 1",IF(AND(A970&gt;=DATE(2015,9,23),A970&lt;=DATE(2015,10,6)),"Promo 2",IF(AND(A970&gt;=DATE(2015,9,9),A970&lt;=DATE(2015,9,22)),"Baseline 2",IF(AND(A970&gt;=DATE(2016,6,23),A970&lt;=DATE(2016,7,6)),"Promo 3",IF(AND(A970&gt;=DATE(2016,6,9),A970&lt;=DATE(2016,6,22)),"Baseline 3","Other"))))))</f>
        <v>Other</v>
      </c>
    </row>
    <row r="971" customFormat="false" ht="15" hidden="false" customHeight="true" outlineLevel="0" collapsed="false">
      <c r="A971" s="12" t="n">
        <v>42607</v>
      </c>
      <c r="B971" s="13" t="n">
        <v>226375.543134796</v>
      </c>
      <c r="C971" s="13" t="n">
        <v>240429.685547203</v>
      </c>
      <c r="D971" s="14" t="n">
        <v>6647</v>
      </c>
      <c r="E971" s="15" t="n">
        <f aca="false">B971/D971</f>
        <v>34.0567990273501</v>
      </c>
      <c r="F971" s="15" t="n">
        <f aca="false">C971/D971</f>
        <v>36.1711577474354</v>
      </c>
      <c r="G971" s="13" t="n">
        <f aca="false">B971-C971</f>
        <v>-14054.142412407</v>
      </c>
      <c r="H971" s="16" t="n">
        <f aca="false">G971/B971</f>
        <v>-0.0620833073122145</v>
      </c>
      <c r="I971" s="15" t="n">
        <f aca="false">G971/D971</f>
        <v>-2.1143587200853</v>
      </c>
      <c r="J971" s="16" t="n">
        <f aca="false">I971/E971</f>
        <v>-0.0620833073122145</v>
      </c>
      <c r="K971" s="17" t="str">
        <f aca="false">TEXT(A971,"dddd")</f>
        <v>Thursday</v>
      </c>
      <c r="L971" s="17" t="str">
        <f aca="false">IF(AND(A971&gt;=DATE(2014,9,24),A971&lt;=DATE(2014,10,6)),"Promo 1",IF(AND(A971&gt;=DATE(2014,9,10),A971&lt;=DATE(2014,9,23)),"Baseline 1",IF(AND(A971&gt;=DATE(2015,9,23),A971&lt;=DATE(2015,10,6)),"Promo 2",IF(AND(A971&gt;=DATE(2015,9,9),A971&lt;=DATE(2015,9,22)),"Baseline 2",IF(AND(A971&gt;=DATE(2016,6,23),A971&lt;=DATE(2016,7,6)),"Promo 3",IF(AND(A971&gt;=DATE(2016,6,9),A971&lt;=DATE(2016,6,22)),"Baseline 3","Other"))))))</f>
        <v>Other</v>
      </c>
    </row>
    <row r="972" customFormat="false" ht="15" hidden="false" customHeight="true" outlineLevel="0" collapsed="false">
      <c r="A972" s="12" t="n">
        <v>42608</v>
      </c>
      <c r="B972" s="13" t="n">
        <v>337900.178233596</v>
      </c>
      <c r="C972" s="13" t="n">
        <v>358772.25036411</v>
      </c>
      <c r="D972" s="14" t="n">
        <v>9908</v>
      </c>
      <c r="E972" s="15" t="n">
        <f aca="false">B972/D972</f>
        <v>34.1037725306415</v>
      </c>
      <c r="F972" s="15" t="n">
        <f aca="false">C972/D972</f>
        <v>36.2103603516461</v>
      </c>
      <c r="G972" s="13" t="n">
        <f aca="false">B972-C972</f>
        <v>-20872.072130514</v>
      </c>
      <c r="H972" s="16" t="n">
        <f aca="false">G972/B972</f>
        <v>-0.0617699352501815</v>
      </c>
      <c r="I972" s="15" t="n">
        <f aca="false">G972/D972</f>
        <v>-2.10658782100464</v>
      </c>
      <c r="J972" s="16" t="n">
        <f aca="false">I972/E972</f>
        <v>-0.0617699352501815</v>
      </c>
      <c r="K972" s="17" t="str">
        <f aca="false">TEXT(A972,"dddd")</f>
        <v>Friday</v>
      </c>
      <c r="L972" s="17" t="str">
        <f aca="false">IF(AND(A972&gt;=DATE(2014,9,24),A972&lt;=DATE(2014,10,6)),"Promo 1",IF(AND(A972&gt;=DATE(2014,9,10),A972&lt;=DATE(2014,9,23)),"Baseline 1",IF(AND(A972&gt;=DATE(2015,9,23),A972&lt;=DATE(2015,10,6)),"Promo 2",IF(AND(A972&gt;=DATE(2015,9,9),A972&lt;=DATE(2015,9,22)),"Baseline 2",IF(AND(A972&gt;=DATE(2016,6,23),A972&lt;=DATE(2016,7,6)),"Promo 3",IF(AND(A972&gt;=DATE(2016,6,9),A972&lt;=DATE(2016,6,22)),"Baseline 3","Other"))))))</f>
        <v>Other</v>
      </c>
    </row>
    <row r="973" customFormat="false" ht="15" hidden="false" customHeight="true" outlineLevel="0" collapsed="false">
      <c r="A973" s="12" t="n">
        <v>42609</v>
      </c>
      <c r="B973" s="13" t="n">
        <v>355069.540106817</v>
      </c>
      <c r="C973" s="13" t="n">
        <v>376755.564483526</v>
      </c>
      <c r="D973" s="14" t="n">
        <v>10393</v>
      </c>
      <c r="E973" s="15" t="n">
        <f aca="false">B973/D973</f>
        <v>34.1642971333414</v>
      </c>
      <c r="F973" s="15" t="n">
        <f aca="false">C973/D973</f>
        <v>36.2508962266454</v>
      </c>
      <c r="G973" s="13" t="n">
        <f aca="false">B973-C973</f>
        <v>-21686.024376709</v>
      </c>
      <c r="H973" s="16" t="n">
        <f aca="false">G973/B973</f>
        <v>-0.061075428689786</v>
      </c>
      <c r="I973" s="15" t="n">
        <f aca="false">G973/D973</f>
        <v>-2.08659909330405</v>
      </c>
      <c r="J973" s="16" t="n">
        <f aca="false">I973/E973</f>
        <v>-0.061075428689786</v>
      </c>
      <c r="K973" s="17" t="str">
        <f aca="false">TEXT(A973,"dddd")</f>
        <v>Saturday</v>
      </c>
      <c r="L973" s="17" t="str">
        <f aca="false">IF(AND(A973&gt;=DATE(2014,9,24),A973&lt;=DATE(2014,10,6)),"Promo 1",IF(AND(A973&gt;=DATE(2014,9,10),A973&lt;=DATE(2014,9,23)),"Baseline 1",IF(AND(A973&gt;=DATE(2015,9,23),A973&lt;=DATE(2015,10,6)),"Promo 2",IF(AND(A973&gt;=DATE(2015,9,9),A973&lt;=DATE(2015,9,22)),"Baseline 2",IF(AND(A973&gt;=DATE(2016,6,23),A973&lt;=DATE(2016,7,6)),"Promo 3",IF(AND(A973&gt;=DATE(2016,6,9),A973&lt;=DATE(2016,6,22)),"Baseline 3","Other"))))))</f>
        <v>Other</v>
      </c>
    </row>
    <row r="974" customFormat="false" ht="15" hidden="false" customHeight="true" outlineLevel="0" collapsed="false">
      <c r="A974" s="12" t="n">
        <v>42610</v>
      </c>
      <c r="B974" s="13" t="n">
        <v>153893.68522805</v>
      </c>
      <c r="C974" s="13" t="n">
        <v>163401.329154059</v>
      </c>
      <c r="D974" s="14" t="n">
        <v>4507</v>
      </c>
      <c r="E974" s="15" t="n">
        <f aca="false">B974/D974</f>
        <v>34.1454815238629</v>
      </c>
      <c r="F974" s="15" t="n">
        <f aca="false">C974/D974</f>
        <v>36.2550097967737</v>
      </c>
      <c r="G974" s="13" t="n">
        <f aca="false">B974-C974</f>
        <v>-9507.64392600901</v>
      </c>
      <c r="H974" s="16" t="n">
        <f aca="false">G974/B974</f>
        <v>-0.0617805981572275</v>
      </c>
      <c r="I974" s="15" t="n">
        <f aca="false">G974/D974</f>
        <v>-2.10952827291081</v>
      </c>
      <c r="J974" s="16" t="n">
        <f aca="false">I974/E974</f>
        <v>-0.0617805981572275</v>
      </c>
      <c r="K974" s="17" t="str">
        <f aca="false">TEXT(A974,"dddd")</f>
        <v>Sunday</v>
      </c>
      <c r="L974" s="17" t="str">
        <f aca="false">IF(AND(A974&gt;=DATE(2014,9,24),A974&lt;=DATE(2014,10,6)),"Promo 1",IF(AND(A974&gt;=DATE(2014,9,10),A974&lt;=DATE(2014,9,23)),"Baseline 1",IF(AND(A974&gt;=DATE(2015,9,23),A974&lt;=DATE(2015,10,6)),"Promo 2",IF(AND(A974&gt;=DATE(2015,9,9),A974&lt;=DATE(2015,9,22)),"Baseline 2",IF(AND(A974&gt;=DATE(2016,6,23),A974&lt;=DATE(2016,7,6)),"Promo 3",IF(AND(A974&gt;=DATE(2016,6,9),A974&lt;=DATE(2016,6,22)),"Baseline 3","Other"))))))</f>
        <v>Other</v>
      </c>
    </row>
    <row r="975" customFormat="false" ht="15" hidden="false" customHeight="true" outlineLevel="0" collapsed="false">
      <c r="A975" s="12" t="n">
        <v>42611</v>
      </c>
      <c r="B975" s="13" t="n">
        <v>159625.740922425</v>
      </c>
      <c r="C975" s="13" t="n">
        <v>169479.106054065</v>
      </c>
      <c r="D975" s="14" t="n">
        <v>4672</v>
      </c>
      <c r="E975" s="15" t="n">
        <f aca="false">B975/D975</f>
        <v>34.1664685193547</v>
      </c>
      <c r="F975" s="15" t="n">
        <f aca="false">C975/D975</f>
        <v>36.2754935903393</v>
      </c>
      <c r="G975" s="13" t="n">
        <f aca="false">B975-C975</f>
        <v>-9853.36513163999</v>
      </c>
      <c r="H975" s="16" t="n">
        <f aca="false">G975/B975</f>
        <v>-0.061727921040182</v>
      </c>
      <c r="I975" s="15" t="n">
        <f aca="false">G975/D975</f>
        <v>-2.10902507098459</v>
      </c>
      <c r="J975" s="16" t="n">
        <f aca="false">I975/E975</f>
        <v>-0.061727921040182</v>
      </c>
      <c r="K975" s="17" t="str">
        <f aca="false">TEXT(A975,"dddd")</f>
        <v>Monday</v>
      </c>
      <c r="L975" s="17" t="str">
        <f aca="false">IF(AND(A975&gt;=DATE(2014,9,24),A975&lt;=DATE(2014,10,6)),"Promo 1",IF(AND(A975&gt;=DATE(2014,9,10),A975&lt;=DATE(2014,9,23)),"Baseline 1",IF(AND(A975&gt;=DATE(2015,9,23),A975&lt;=DATE(2015,10,6)),"Promo 2",IF(AND(A975&gt;=DATE(2015,9,9),A975&lt;=DATE(2015,9,22)),"Baseline 2",IF(AND(A975&gt;=DATE(2016,6,23),A975&lt;=DATE(2016,7,6)),"Promo 3",IF(AND(A975&gt;=DATE(2016,6,9),A975&lt;=DATE(2016,6,22)),"Baseline 3","Other"))))))</f>
        <v>Other</v>
      </c>
    </row>
    <row r="976" customFormat="false" ht="15" hidden="false" customHeight="true" outlineLevel="0" collapsed="false">
      <c r="A976" s="12" t="n">
        <v>42612</v>
      </c>
      <c r="B976" s="13" t="n">
        <v>133961.966992851</v>
      </c>
      <c r="C976" s="13" t="n">
        <v>142299.917791848</v>
      </c>
      <c r="D976" s="14" t="n">
        <v>3924</v>
      </c>
      <c r="E976" s="15" t="n">
        <f aca="false">B976/D976</f>
        <v>34.1391353192791</v>
      </c>
      <c r="F976" s="15" t="n">
        <f aca="false">C976/D976</f>
        <v>36.2639953597982</v>
      </c>
      <c r="G976" s="13" t="n">
        <f aca="false">B976-C976</f>
        <v>-8337.95079899702</v>
      </c>
      <c r="H976" s="16" t="n">
        <f aca="false">G976/B976</f>
        <v>-0.0622411792403883</v>
      </c>
      <c r="I976" s="15" t="n">
        <f aca="false">G976/D976</f>
        <v>-2.12486004051912</v>
      </c>
      <c r="J976" s="16" t="n">
        <f aca="false">I976/E976</f>
        <v>-0.0622411792403883</v>
      </c>
      <c r="K976" s="17" t="str">
        <f aca="false">TEXT(A976,"dddd")</f>
        <v>Tuesday</v>
      </c>
      <c r="L976" s="17" t="str">
        <f aca="false">IF(AND(A976&gt;=DATE(2014,9,24),A976&lt;=DATE(2014,10,6)),"Promo 1",IF(AND(A976&gt;=DATE(2014,9,10),A976&lt;=DATE(2014,9,23)),"Baseline 1",IF(AND(A976&gt;=DATE(2015,9,23),A976&lt;=DATE(2015,10,6)),"Promo 2",IF(AND(A976&gt;=DATE(2015,9,9),A976&lt;=DATE(2015,9,22)),"Baseline 2",IF(AND(A976&gt;=DATE(2016,6,23),A976&lt;=DATE(2016,7,6)),"Promo 3",IF(AND(A976&gt;=DATE(2016,6,9),A976&lt;=DATE(2016,6,22)),"Baseline 3","Other"))))))</f>
        <v>Other</v>
      </c>
    </row>
    <row r="977" customFormat="false" ht="15" hidden="false" customHeight="true" outlineLevel="0" collapsed="false">
      <c r="A977" s="12" t="n">
        <v>42613</v>
      </c>
      <c r="B977" s="13" t="n">
        <v>236305.156366476</v>
      </c>
      <c r="C977" s="13" t="n">
        <v>250572.453387795</v>
      </c>
      <c r="D977" s="14" t="n">
        <v>6918</v>
      </c>
      <c r="E977" s="15" t="n">
        <f aca="false">B977/D977</f>
        <v>34.1580162426245</v>
      </c>
      <c r="F977" s="15" t="n">
        <f aca="false">C977/D977</f>
        <v>36.2203604203231</v>
      </c>
      <c r="G977" s="13" t="n">
        <f aca="false">B977-C977</f>
        <v>-14267.297021319</v>
      </c>
      <c r="H977" s="16" t="n">
        <f aca="false">G977/B977</f>
        <v>-0.0603765793379152</v>
      </c>
      <c r="I977" s="15" t="n">
        <f aca="false">G977/D977</f>
        <v>-2.06234417769861</v>
      </c>
      <c r="J977" s="16" t="n">
        <f aca="false">I977/E977</f>
        <v>-0.0603765793379152</v>
      </c>
      <c r="K977" s="17" t="str">
        <f aca="false">TEXT(A977,"dddd")</f>
        <v>Wednesday</v>
      </c>
      <c r="L977" s="17" t="str">
        <f aca="false">IF(AND(A977&gt;=DATE(2014,9,24),A977&lt;=DATE(2014,10,6)),"Promo 1",IF(AND(A977&gt;=DATE(2014,9,10),A977&lt;=DATE(2014,9,23)),"Baseline 1",IF(AND(A977&gt;=DATE(2015,9,23),A977&lt;=DATE(2015,10,6)),"Promo 2",IF(AND(A977&gt;=DATE(2015,9,9),A977&lt;=DATE(2015,9,22)),"Baseline 2",IF(AND(A977&gt;=DATE(2016,6,23),A977&lt;=DATE(2016,7,6)),"Promo 3",IF(AND(A977&gt;=DATE(2016,6,9),A977&lt;=DATE(2016,6,22)),"Baseline 3","Other"))))))</f>
        <v>Other</v>
      </c>
    </row>
    <row r="978" customFormat="false" ht="15" hidden="false" customHeight="true" outlineLevel="0" collapsed="false">
      <c r="A978" s="12" t="n">
        <v>42614</v>
      </c>
      <c r="B978" s="13" t="n">
        <v>313491.735118815</v>
      </c>
      <c r="C978" s="13" t="n">
        <v>333030.875704027</v>
      </c>
      <c r="D978" s="14" t="n">
        <v>9183</v>
      </c>
      <c r="E978" s="15" t="n">
        <f aca="false">B978/D978</f>
        <v>34.1382701860846</v>
      </c>
      <c r="F978" s="15" t="n">
        <f aca="false">C978/D978</f>
        <v>36.2660215293507</v>
      </c>
      <c r="G978" s="13" t="n">
        <f aca="false">B978-C978</f>
        <v>-19539.140585212</v>
      </c>
      <c r="H978" s="16" t="n">
        <f aca="false">G978/B978</f>
        <v>-0.0623274504439698</v>
      </c>
      <c r="I978" s="15" t="n">
        <f aca="false">G978/D978</f>
        <v>-2.12775134326604</v>
      </c>
      <c r="J978" s="16" t="n">
        <f aca="false">I978/E978</f>
        <v>-0.0623274504439698</v>
      </c>
      <c r="K978" s="17" t="str">
        <f aca="false">TEXT(A978,"dddd")</f>
        <v>Thursday</v>
      </c>
      <c r="L978" s="17" t="str">
        <f aca="false">IF(AND(A978&gt;=DATE(2014,9,24),A978&lt;=DATE(2014,10,6)),"Promo 1",IF(AND(A978&gt;=DATE(2014,9,10),A978&lt;=DATE(2014,9,23)),"Baseline 1",IF(AND(A978&gt;=DATE(2015,9,23),A978&lt;=DATE(2015,10,6)),"Promo 2",IF(AND(A978&gt;=DATE(2015,9,9),A978&lt;=DATE(2015,9,22)),"Baseline 2",IF(AND(A978&gt;=DATE(2016,6,23),A978&lt;=DATE(2016,7,6)),"Promo 3",IF(AND(A978&gt;=DATE(2016,6,9),A978&lt;=DATE(2016,6,22)),"Baseline 3","Other"))))))</f>
        <v>Other</v>
      </c>
    </row>
    <row r="979" customFormat="false" ht="15" hidden="false" customHeight="true" outlineLevel="0" collapsed="false">
      <c r="A979" s="12" t="n">
        <v>42615</v>
      </c>
      <c r="B979" s="13" t="n">
        <v>370355.001734241</v>
      </c>
      <c r="C979" s="13" t="n">
        <v>392493.082691823</v>
      </c>
      <c r="D979" s="14" t="n">
        <v>10830</v>
      </c>
      <c r="E979" s="15" t="n">
        <f aca="false">B979/D979</f>
        <v>34.1971377409272</v>
      </c>
      <c r="F979" s="15" t="n">
        <f aca="false">C979/D979</f>
        <v>36.2412818736679</v>
      </c>
      <c r="G979" s="13" t="n">
        <f aca="false">B979-C979</f>
        <v>-22138.080957582</v>
      </c>
      <c r="H979" s="16" t="n">
        <f aca="false">G979/B979</f>
        <v>-0.0597752989804842</v>
      </c>
      <c r="I979" s="15" t="n">
        <f aca="false">G979/D979</f>
        <v>-2.04414413274072</v>
      </c>
      <c r="J979" s="16" t="n">
        <f aca="false">I979/E979</f>
        <v>-0.0597752989804842</v>
      </c>
      <c r="K979" s="17" t="str">
        <f aca="false">TEXT(A979,"dddd")</f>
        <v>Friday</v>
      </c>
      <c r="L979" s="17" t="str">
        <f aca="false">IF(AND(A979&gt;=DATE(2014,9,24),A979&lt;=DATE(2014,10,6)),"Promo 1",IF(AND(A979&gt;=DATE(2014,9,10),A979&lt;=DATE(2014,9,23)),"Baseline 1",IF(AND(A979&gt;=DATE(2015,9,23),A979&lt;=DATE(2015,10,6)),"Promo 2",IF(AND(A979&gt;=DATE(2015,9,9),A979&lt;=DATE(2015,9,22)),"Baseline 2",IF(AND(A979&gt;=DATE(2016,6,23),A979&lt;=DATE(2016,7,6)),"Promo 3",IF(AND(A979&gt;=DATE(2016,6,9),A979&lt;=DATE(2016,6,22)),"Baseline 3","Other"))))))</f>
        <v>Other</v>
      </c>
    </row>
    <row r="980" customFormat="false" ht="15" hidden="false" customHeight="true" outlineLevel="0" collapsed="false">
      <c r="A980" s="12" t="n">
        <v>42616</v>
      </c>
      <c r="B980" s="13" t="n">
        <v>369091.055392498</v>
      </c>
      <c r="C980" s="13" t="n">
        <v>391842.501397803</v>
      </c>
      <c r="D980" s="14" t="n">
        <v>10800</v>
      </c>
      <c r="E980" s="15" t="n">
        <f aca="false">B980/D980</f>
        <v>34.1750977215276</v>
      </c>
      <c r="F980" s="15" t="n">
        <f aca="false">C980/D980</f>
        <v>36.2817130923892</v>
      </c>
      <c r="G980" s="13" t="n">
        <f aca="false">B980-C980</f>
        <v>-22751.446005305</v>
      </c>
      <c r="H980" s="16" t="n">
        <f aca="false">G980/B980</f>
        <v>-0.061641824349037</v>
      </c>
      <c r="I980" s="15" t="n">
        <f aca="false">G980/D980</f>
        <v>-2.10661537086158</v>
      </c>
      <c r="J980" s="16" t="n">
        <f aca="false">I980/E980</f>
        <v>-0.061641824349037</v>
      </c>
      <c r="K980" s="17" t="str">
        <f aca="false">TEXT(A980,"dddd")</f>
        <v>Saturday</v>
      </c>
      <c r="L980" s="17" t="str">
        <f aca="false">IF(AND(A980&gt;=DATE(2014,9,24),A980&lt;=DATE(2014,10,6)),"Promo 1",IF(AND(A980&gt;=DATE(2014,9,10),A980&lt;=DATE(2014,9,23)),"Baseline 1",IF(AND(A980&gt;=DATE(2015,9,23),A980&lt;=DATE(2015,10,6)),"Promo 2",IF(AND(A980&gt;=DATE(2015,9,9),A980&lt;=DATE(2015,9,22)),"Baseline 2",IF(AND(A980&gt;=DATE(2016,6,23),A980&lt;=DATE(2016,7,6)),"Promo 3",IF(AND(A980&gt;=DATE(2016,6,9),A980&lt;=DATE(2016,6,22)),"Baseline 3","Other"))))))</f>
        <v>Other</v>
      </c>
    </row>
    <row r="981" customFormat="false" ht="15" hidden="false" customHeight="true" outlineLevel="0" collapsed="false">
      <c r="A981" s="12" t="n">
        <v>42617</v>
      </c>
      <c r="B981" s="13" t="n">
        <v>209026.019671959</v>
      </c>
      <c r="C981" s="13" t="n">
        <v>222163.728909274</v>
      </c>
      <c r="D981" s="14" t="n">
        <v>6119</v>
      </c>
      <c r="E981" s="15" t="n">
        <f aca="false">B981/D981</f>
        <v>34.1601601032781</v>
      </c>
      <c r="F981" s="15" t="n">
        <f aca="false">C981/D981</f>
        <v>36.3071954419471</v>
      </c>
      <c r="G981" s="13" t="n">
        <f aca="false">B981-C981</f>
        <v>-13137.709237315</v>
      </c>
      <c r="H981" s="16" t="n">
        <f aca="false">G981/B981</f>
        <v>-0.0628520279816506</v>
      </c>
      <c r="I981" s="15" t="n">
        <f aca="false">G981/D981</f>
        <v>-2.1470353386689</v>
      </c>
      <c r="J981" s="16" t="n">
        <f aca="false">I981/E981</f>
        <v>-0.0628520279816506</v>
      </c>
      <c r="K981" s="17" t="str">
        <f aca="false">TEXT(A981,"dddd")</f>
        <v>Sunday</v>
      </c>
      <c r="L981" s="17" t="str">
        <f aca="false">IF(AND(A981&gt;=DATE(2014,9,24),A981&lt;=DATE(2014,10,6)),"Promo 1",IF(AND(A981&gt;=DATE(2014,9,10),A981&lt;=DATE(2014,9,23)),"Baseline 1",IF(AND(A981&gt;=DATE(2015,9,23),A981&lt;=DATE(2015,10,6)),"Promo 2",IF(AND(A981&gt;=DATE(2015,9,9),A981&lt;=DATE(2015,9,22)),"Baseline 2",IF(AND(A981&gt;=DATE(2016,6,23),A981&lt;=DATE(2016,7,6)),"Promo 3",IF(AND(A981&gt;=DATE(2016,6,9),A981&lt;=DATE(2016,6,22)),"Baseline 3","Other"))))))</f>
        <v>Other</v>
      </c>
    </row>
    <row r="982" customFormat="false" ht="15" hidden="false" customHeight="true" outlineLevel="0" collapsed="false">
      <c r="A982" s="12" t="n">
        <v>42618</v>
      </c>
      <c r="B982" s="13" t="n">
        <v>228177.31678003</v>
      </c>
      <c r="C982" s="13" t="n">
        <v>242589.587218544</v>
      </c>
      <c r="D982" s="14" t="n">
        <v>6685</v>
      </c>
      <c r="E982" s="15" t="n">
        <f aca="false">B982/D982</f>
        <v>34.1327325026223</v>
      </c>
      <c r="F982" s="15" t="n">
        <f aca="false">C982/D982</f>
        <v>36.2886443109266</v>
      </c>
      <c r="G982" s="13" t="n">
        <f aca="false">B982-C982</f>
        <v>-14412.270438514</v>
      </c>
      <c r="H982" s="16" t="n">
        <f aca="false">G982/B982</f>
        <v>-0.0631625905760295</v>
      </c>
      <c r="I982" s="15" t="n">
        <f aca="false">G982/D982</f>
        <v>-2.15591180830426</v>
      </c>
      <c r="J982" s="16" t="n">
        <f aca="false">I982/E982</f>
        <v>-0.0631625905760295</v>
      </c>
      <c r="K982" s="17" t="str">
        <f aca="false">TEXT(A982,"dddd")</f>
        <v>Monday</v>
      </c>
      <c r="L982" s="17" t="str">
        <f aca="false">IF(AND(A982&gt;=DATE(2014,9,24),A982&lt;=DATE(2014,10,6)),"Promo 1",IF(AND(A982&gt;=DATE(2014,9,10),A982&lt;=DATE(2014,9,23)),"Baseline 1",IF(AND(A982&gt;=DATE(2015,9,23),A982&lt;=DATE(2015,10,6)),"Promo 2",IF(AND(A982&gt;=DATE(2015,9,9),A982&lt;=DATE(2015,9,22)),"Baseline 2",IF(AND(A982&gt;=DATE(2016,6,23),A982&lt;=DATE(2016,7,6)),"Promo 3",IF(AND(A982&gt;=DATE(2016,6,9),A982&lt;=DATE(2016,6,22)),"Baseline 3","Other"))))))</f>
        <v>Other</v>
      </c>
    </row>
    <row r="983" customFormat="false" ht="15" hidden="false" customHeight="true" outlineLevel="0" collapsed="false">
      <c r="A983" s="12" t="n">
        <v>42619</v>
      </c>
      <c r="B983" s="13" t="n">
        <v>154494.78204917</v>
      </c>
      <c r="C983" s="13" t="n">
        <v>164108.826444586</v>
      </c>
      <c r="D983" s="14" t="n">
        <v>4519</v>
      </c>
      <c r="E983" s="15" t="n">
        <f aca="false">B983/D983</f>
        <v>34.1878251934432</v>
      </c>
      <c r="F983" s="15" t="n">
        <f aca="false">C983/D983</f>
        <v>36.3152968454494</v>
      </c>
      <c r="G983" s="13" t="n">
        <f aca="false">B983-C983</f>
        <v>-9614.04439541602</v>
      </c>
      <c r="H983" s="16" t="n">
        <f aca="false">G983/B983</f>
        <v>-0.0622289262323191</v>
      </c>
      <c r="I983" s="15" t="n">
        <f aca="false">G983/D983</f>
        <v>-2.1274716520062</v>
      </c>
      <c r="J983" s="16" t="n">
        <f aca="false">I983/E983</f>
        <v>-0.0622289262323191</v>
      </c>
      <c r="K983" s="17" t="str">
        <f aca="false">TEXT(A983,"dddd")</f>
        <v>Tuesday</v>
      </c>
      <c r="L983" s="17" t="str">
        <f aca="false">IF(AND(A983&gt;=DATE(2014,9,24),A983&lt;=DATE(2014,10,6)),"Promo 1",IF(AND(A983&gt;=DATE(2014,9,10),A983&lt;=DATE(2014,9,23)),"Baseline 1",IF(AND(A983&gt;=DATE(2015,9,23),A983&lt;=DATE(2015,10,6)),"Promo 2",IF(AND(A983&gt;=DATE(2015,9,9),A983&lt;=DATE(2015,9,22)),"Baseline 2",IF(AND(A983&gt;=DATE(2016,6,23),A983&lt;=DATE(2016,7,6)),"Promo 3",IF(AND(A983&gt;=DATE(2016,6,9),A983&lt;=DATE(2016,6,22)),"Baseline 3","Other"))))))</f>
        <v>Other</v>
      </c>
    </row>
    <row r="984" customFormat="false" ht="15" hidden="false" customHeight="true" outlineLevel="0" collapsed="false">
      <c r="A984" s="12" t="n">
        <v>42620</v>
      </c>
      <c r="B984" s="13" t="n">
        <v>50736.4741722001</v>
      </c>
      <c r="C984" s="13" t="n">
        <v>43830.1968528723</v>
      </c>
      <c r="D984" s="14" t="n">
        <v>1206</v>
      </c>
      <c r="E984" s="15" t="n">
        <f aca="false">B984/D984</f>
        <v>42.0700449189056</v>
      </c>
      <c r="F984" s="15" t="n">
        <f aca="false">C984/D984</f>
        <v>36.3434468100102</v>
      </c>
      <c r="G984" s="13" t="n">
        <f aca="false">B984-C984</f>
        <v>6906.2773193278</v>
      </c>
      <c r="H984" s="16" t="n">
        <f aca="false">G984/B984</f>
        <v>0.136120560839285</v>
      </c>
      <c r="I984" s="15" t="n">
        <f aca="false">G984/D984</f>
        <v>5.72659810889535</v>
      </c>
      <c r="J984" s="16" t="n">
        <f aca="false">I984/E984</f>
        <v>0.136120560839285</v>
      </c>
      <c r="K984" s="17" t="str">
        <f aca="false">TEXT(A984,"dddd")</f>
        <v>Wednesday</v>
      </c>
      <c r="L984" s="17" t="str">
        <f aca="false">IF(AND(A984&gt;=DATE(2014,9,24),A984&lt;=DATE(2014,10,6)),"Promo 1",IF(AND(A984&gt;=DATE(2014,9,10),A984&lt;=DATE(2014,9,23)),"Baseline 1",IF(AND(A984&gt;=DATE(2015,9,23),A984&lt;=DATE(2015,10,6)),"Promo 2",IF(AND(A984&gt;=DATE(2015,9,9),A984&lt;=DATE(2015,9,22)),"Baseline 2",IF(AND(A984&gt;=DATE(2016,6,23),A984&lt;=DATE(2016,7,6)),"Promo 3",IF(AND(A984&gt;=DATE(2016,6,9),A984&lt;=DATE(2016,6,22)),"Baseline 3","Other"))))))</f>
        <v>Other</v>
      </c>
    </row>
    <row r="985" customFormat="false" ht="15" hidden="false" customHeight="true" outlineLevel="0" collapsed="false">
      <c r="A985" s="12" t="n">
        <v>42621</v>
      </c>
      <c r="B985" s="13" t="n">
        <v>43292.1492365103</v>
      </c>
      <c r="C985" s="13" t="n">
        <v>37391.6808894561</v>
      </c>
      <c r="D985" s="14" t="n">
        <v>1029</v>
      </c>
      <c r="E985" s="15" t="n">
        <f aca="false">B985/D985</f>
        <v>42.0720595107</v>
      </c>
      <c r="F985" s="15" t="n">
        <f aca="false">C985/D985</f>
        <v>36.3378823026784</v>
      </c>
      <c r="G985" s="13" t="n">
        <f aca="false">B985-C985</f>
        <v>5900.46834705419</v>
      </c>
      <c r="H985" s="16" t="n">
        <f aca="false">G985/B985</f>
        <v>0.136294188464038</v>
      </c>
      <c r="I985" s="15" t="n">
        <f aca="false">G985/D985</f>
        <v>5.73417720802157</v>
      </c>
      <c r="J985" s="16" t="n">
        <f aca="false">I985/E985</f>
        <v>0.136294188464038</v>
      </c>
      <c r="K985" s="17" t="str">
        <f aca="false">TEXT(A985,"dddd")</f>
        <v>Thursday</v>
      </c>
      <c r="L985" s="17" t="str">
        <f aca="false">IF(AND(A985&gt;=DATE(2014,9,24),A985&lt;=DATE(2014,10,6)),"Promo 1",IF(AND(A985&gt;=DATE(2014,9,10),A985&lt;=DATE(2014,9,23)),"Baseline 1",IF(AND(A985&gt;=DATE(2015,9,23),A985&lt;=DATE(2015,10,6)),"Promo 2",IF(AND(A985&gt;=DATE(2015,9,9),A985&lt;=DATE(2015,9,22)),"Baseline 2",IF(AND(A985&gt;=DATE(2016,6,23),A985&lt;=DATE(2016,7,6)),"Promo 3",IF(AND(A985&gt;=DATE(2016,6,9),A985&lt;=DATE(2016,6,22)),"Baseline 3","Other"))))))</f>
        <v>Other</v>
      </c>
    </row>
    <row r="986" customFormat="false" ht="15" hidden="false" customHeight="true" outlineLevel="0" collapsed="false">
      <c r="A986" s="12" t="n">
        <v>42622</v>
      </c>
      <c r="B986" s="13" t="n">
        <v>77335.9185976342</v>
      </c>
      <c r="C986" s="13" t="n">
        <v>69612.1267018875</v>
      </c>
      <c r="D986" s="14" t="n">
        <v>1917</v>
      </c>
      <c r="E986" s="15" t="n">
        <f aca="false">B986/D986</f>
        <v>40.3421588928713</v>
      </c>
      <c r="F986" s="15" t="n">
        <f aca="false">C986/D986</f>
        <v>36.3130551392214</v>
      </c>
      <c r="G986" s="13" t="n">
        <f aca="false">B986-C986</f>
        <v>7723.7918957467</v>
      </c>
      <c r="H986" s="16" t="n">
        <f aca="false">G986/B986</f>
        <v>0.0998732805636188</v>
      </c>
      <c r="I986" s="15" t="n">
        <f aca="false">G986/D986</f>
        <v>4.02910375364982</v>
      </c>
      <c r="J986" s="16" t="n">
        <f aca="false">I986/E986</f>
        <v>0.0998732805636188</v>
      </c>
      <c r="K986" s="17" t="str">
        <f aca="false">TEXT(A986,"dddd")</f>
        <v>Friday</v>
      </c>
      <c r="L986" s="17" t="str">
        <f aca="false">IF(AND(A986&gt;=DATE(2014,9,24),A986&lt;=DATE(2014,10,6)),"Promo 1",IF(AND(A986&gt;=DATE(2014,9,10),A986&lt;=DATE(2014,9,23)),"Baseline 1",IF(AND(A986&gt;=DATE(2015,9,23),A986&lt;=DATE(2015,10,6)),"Promo 2",IF(AND(A986&gt;=DATE(2015,9,9),A986&lt;=DATE(2015,9,22)),"Baseline 2",IF(AND(A986&gt;=DATE(2016,6,23),A986&lt;=DATE(2016,7,6)),"Promo 3",IF(AND(A986&gt;=DATE(2016,6,9),A986&lt;=DATE(2016,6,22)),"Baseline 3","Other"))))))</f>
        <v>Other</v>
      </c>
    </row>
    <row r="987" customFormat="false" ht="15" hidden="false" customHeight="true" outlineLevel="0" collapsed="false">
      <c r="A987" s="12" t="n">
        <v>42623</v>
      </c>
      <c r="B987" s="13" t="n">
        <v>85070.2348897339</v>
      </c>
      <c r="C987" s="13" t="n">
        <v>76591.852917485</v>
      </c>
      <c r="D987" s="14" t="n">
        <v>2108</v>
      </c>
      <c r="E987" s="15" t="n">
        <f aca="false">B987/D987</f>
        <v>40.3558989040483</v>
      </c>
      <c r="F987" s="15" t="n">
        <f aca="false">C987/D987</f>
        <v>36.3338960709132</v>
      </c>
      <c r="G987" s="13" t="n">
        <f aca="false">B987-C987</f>
        <v>8478.3819722489</v>
      </c>
      <c r="H987" s="16" t="n">
        <f aca="false">G987/B987</f>
        <v>0.099663319176659</v>
      </c>
      <c r="I987" s="15" t="n">
        <f aca="false">G987/D987</f>
        <v>4.02200283313515</v>
      </c>
      <c r="J987" s="16" t="n">
        <f aca="false">I987/E987</f>
        <v>0.099663319176659</v>
      </c>
      <c r="K987" s="17" t="str">
        <f aca="false">TEXT(A987,"dddd")</f>
        <v>Saturday</v>
      </c>
      <c r="L987" s="17" t="str">
        <f aca="false">IF(AND(A987&gt;=DATE(2014,9,24),A987&lt;=DATE(2014,10,6)),"Promo 1",IF(AND(A987&gt;=DATE(2014,9,10),A987&lt;=DATE(2014,9,23)),"Baseline 1",IF(AND(A987&gt;=DATE(2015,9,23),A987&lt;=DATE(2015,10,6)),"Promo 2",IF(AND(A987&gt;=DATE(2015,9,9),A987&lt;=DATE(2015,9,22)),"Baseline 2",IF(AND(A987&gt;=DATE(2016,6,23),A987&lt;=DATE(2016,7,6)),"Promo 3",IF(AND(A987&gt;=DATE(2016,6,9),A987&lt;=DATE(2016,6,22)),"Baseline 3","Other"))))))</f>
        <v>Other</v>
      </c>
    </row>
    <row r="988" customFormat="false" ht="15" hidden="false" customHeight="true" outlineLevel="0" collapsed="false">
      <c r="A988" s="12" t="n">
        <v>42624</v>
      </c>
      <c r="B988" s="13" t="n">
        <v>48831.6661053702</v>
      </c>
      <c r="C988" s="13" t="n">
        <v>44014.2320187302</v>
      </c>
      <c r="D988" s="14" t="n">
        <v>1211</v>
      </c>
      <c r="E988" s="15" t="n">
        <f aca="false">B988/D988</f>
        <v>40.3234237038565</v>
      </c>
      <c r="F988" s="15" t="n">
        <f aca="false">C988/D988</f>
        <v>36.3453608742611</v>
      </c>
      <c r="G988" s="13" t="n">
        <f aca="false">B988-C988</f>
        <v>4817.43408663999</v>
      </c>
      <c r="H988" s="16" t="n">
        <f aca="false">G988/B988</f>
        <v>0.098653895532559</v>
      </c>
      <c r="I988" s="15" t="n">
        <f aca="false">G988/D988</f>
        <v>3.97806282959537</v>
      </c>
      <c r="J988" s="16" t="n">
        <f aca="false">I988/E988</f>
        <v>0.098653895532559</v>
      </c>
      <c r="K988" s="17" t="str">
        <f aca="false">TEXT(A988,"dddd")</f>
        <v>Sunday</v>
      </c>
      <c r="L988" s="17" t="str">
        <f aca="false">IF(AND(A988&gt;=DATE(2014,9,24),A988&lt;=DATE(2014,10,6)),"Promo 1",IF(AND(A988&gt;=DATE(2014,9,10),A988&lt;=DATE(2014,9,23)),"Baseline 1",IF(AND(A988&gt;=DATE(2015,9,23),A988&lt;=DATE(2015,10,6)),"Promo 2",IF(AND(A988&gt;=DATE(2015,9,9),A988&lt;=DATE(2015,9,22)),"Baseline 2",IF(AND(A988&gt;=DATE(2016,6,23),A988&lt;=DATE(2016,7,6)),"Promo 3",IF(AND(A988&gt;=DATE(2016,6,9),A988&lt;=DATE(2016,6,22)),"Baseline 3","Other"))))))</f>
        <v>Other</v>
      </c>
    </row>
    <row r="989" customFormat="false" ht="15" hidden="false" customHeight="true" outlineLevel="0" collapsed="false">
      <c r="A989" s="12" t="n">
        <v>42625</v>
      </c>
      <c r="B989" s="13" t="n">
        <v>52075.1571766001</v>
      </c>
      <c r="C989" s="13" t="n">
        <v>46884.1425080878</v>
      </c>
      <c r="D989" s="14" t="n">
        <v>1291</v>
      </c>
      <c r="E989" s="15" t="n">
        <f aca="false">B989/D989</f>
        <v>40.3370698501937</v>
      </c>
      <c r="F989" s="15" t="n">
        <f aca="false">C989/D989</f>
        <v>36.3161444679224</v>
      </c>
      <c r="G989" s="13" t="n">
        <f aca="false">B989-C989</f>
        <v>5191.0146685123</v>
      </c>
      <c r="H989" s="16" t="n">
        <f aca="false">G989/B989</f>
        <v>0.0996831301134291</v>
      </c>
      <c r="I989" s="15" t="n">
        <f aca="false">G989/D989</f>
        <v>4.02092538227134</v>
      </c>
      <c r="J989" s="16" t="n">
        <f aca="false">I989/E989</f>
        <v>0.0996831301134291</v>
      </c>
      <c r="K989" s="17" t="str">
        <f aca="false">TEXT(A989,"dddd")</f>
        <v>Monday</v>
      </c>
      <c r="L989" s="17" t="str">
        <f aca="false">IF(AND(A989&gt;=DATE(2014,9,24),A989&lt;=DATE(2014,10,6)),"Promo 1",IF(AND(A989&gt;=DATE(2014,9,10),A989&lt;=DATE(2014,9,23)),"Baseline 1",IF(AND(A989&gt;=DATE(2015,9,23),A989&lt;=DATE(2015,10,6)),"Promo 2",IF(AND(A989&gt;=DATE(2015,9,9),A989&lt;=DATE(2015,9,22)),"Baseline 2",IF(AND(A989&gt;=DATE(2016,6,23),A989&lt;=DATE(2016,7,6)),"Promo 3",IF(AND(A989&gt;=DATE(2016,6,9),A989&lt;=DATE(2016,6,22)),"Baseline 3","Other"))))))</f>
        <v>Other</v>
      </c>
    </row>
    <row r="990" customFormat="false" ht="15" hidden="false" customHeight="true" outlineLevel="0" collapsed="false">
      <c r="A990" s="12" t="n">
        <v>42626</v>
      </c>
      <c r="B990" s="13" t="n">
        <v>30424.7262566901</v>
      </c>
      <c r="C990" s="13" t="n">
        <v>27398.5881268937</v>
      </c>
      <c r="D990" s="14" t="n">
        <v>755</v>
      </c>
      <c r="E990" s="15" t="n">
        <f aca="false">B990/D990</f>
        <v>40.2976506711127</v>
      </c>
      <c r="F990" s="15" t="n">
        <f aca="false">C990/D990</f>
        <v>36.2895206978725</v>
      </c>
      <c r="G990" s="13" t="n">
        <f aca="false">B990-C990</f>
        <v>3026.1381297964</v>
      </c>
      <c r="H990" s="16" t="n">
        <f aca="false">G990/B990</f>
        <v>0.0994631177373693</v>
      </c>
      <c r="I990" s="15" t="n">
        <f aca="false">G990/D990</f>
        <v>4.00812997324027</v>
      </c>
      <c r="J990" s="16" t="n">
        <f aca="false">I990/E990</f>
        <v>0.0994631177373694</v>
      </c>
      <c r="K990" s="17" t="str">
        <f aca="false">TEXT(A990,"dddd")</f>
        <v>Tuesday</v>
      </c>
      <c r="L990" s="17" t="str">
        <f aca="false">IF(AND(A990&gt;=DATE(2014,9,24),A990&lt;=DATE(2014,10,6)),"Promo 1",IF(AND(A990&gt;=DATE(2014,9,10),A990&lt;=DATE(2014,9,23)),"Baseline 1",IF(AND(A990&gt;=DATE(2015,9,23),A990&lt;=DATE(2015,10,6)),"Promo 2",IF(AND(A990&gt;=DATE(2015,9,9),A990&lt;=DATE(2015,9,22)),"Baseline 2",IF(AND(A990&gt;=DATE(2016,6,23),A990&lt;=DATE(2016,7,6)),"Promo 3",IF(AND(A990&gt;=DATE(2016,6,9),A990&lt;=DATE(2016,6,22)),"Baseline 3","Other"))))))</f>
        <v>Other</v>
      </c>
    </row>
    <row r="991" customFormat="false" ht="15" hidden="false" customHeight="true" outlineLevel="0" collapsed="false">
      <c r="A991" s="12" t="n">
        <v>42627</v>
      </c>
      <c r="B991" s="13" t="n">
        <v>20495.113025005</v>
      </c>
      <c r="C991" s="13" t="n">
        <v>18375.0526076978</v>
      </c>
      <c r="D991" s="14" t="n">
        <v>508</v>
      </c>
      <c r="E991" s="15" t="n">
        <f aca="false">B991/D991</f>
        <v>40.3447106791437</v>
      </c>
      <c r="F991" s="15" t="n">
        <f aca="false">C991/D991</f>
        <v>36.1713634009799</v>
      </c>
      <c r="G991" s="13" t="n">
        <f aca="false">B991-C991</f>
        <v>2120.0604173072</v>
      </c>
      <c r="H991" s="16" t="n">
        <f aca="false">G991/B991</f>
        <v>0.103442240826905</v>
      </c>
      <c r="I991" s="15" t="n">
        <f aca="false">G991/D991</f>
        <v>4.17334727816378</v>
      </c>
      <c r="J991" s="16" t="n">
        <f aca="false">I991/E991</f>
        <v>0.103442240826905</v>
      </c>
      <c r="K991" s="17" t="str">
        <f aca="false">TEXT(A991,"dddd")</f>
        <v>Wednesday</v>
      </c>
      <c r="L991" s="17" t="str">
        <f aca="false">IF(AND(A991&gt;=DATE(2014,9,24),A991&lt;=DATE(2014,10,6)),"Promo 1",IF(AND(A991&gt;=DATE(2014,9,10),A991&lt;=DATE(2014,9,23)),"Baseline 1",IF(AND(A991&gt;=DATE(2015,9,23),A991&lt;=DATE(2015,10,6)),"Promo 2",IF(AND(A991&gt;=DATE(2015,9,9),A991&lt;=DATE(2015,9,22)),"Baseline 2",IF(AND(A991&gt;=DATE(2016,6,23),A991&lt;=DATE(2016,7,6)),"Promo 3",IF(AND(A991&gt;=DATE(2016,6,9),A991&lt;=DATE(2016,6,22)),"Baseline 3","Other"))))))</f>
        <v>Other</v>
      </c>
    </row>
    <row r="992" customFormat="false" ht="15" hidden="false" customHeight="true" outlineLevel="0" collapsed="false">
      <c r="A992" s="12" t="n">
        <v>42628</v>
      </c>
      <c r="B992" s="13" t="n">
        <v>40742.1716811202</v>
      </c>
      <c r="C992" s="13" t="n">
        <v>36464.7598149407</v>
      </c>
      <c r="D992" s="14" t="n">
        <v>1010</v>
      </c>
      <c r="E992" s="15" t="n">
        <f aca="false">B992/D992</f>
        <v>40.3387838426933</v>
      </c>
      <c r="F992" s="15" t="n">
        <f aca="false">C992/D992</f>
        <v>36.1037225890502</v>
      </c>
      <c r="G992" s="13" t="n">
        <f aca="false">B992-C992</f>
        <v>4277.4118661795</v>
      </c>
      <c r="H992" s="16" t="n">
        <f aca="false">G992/B992</f>
        <v>0.104987331054855</v>
      </c>
      <c r="I992" s="15" t="n">
        <f aca="false">G992/D992</f>
        <v>4.23506125364307</v>
      </c>
      <c r="J992" s="16" t="n">
        <f aca="false">I992/E992</f>
        <v>0.104987331054855</v>
      </c>
      <c r="K992" s="17" t="str">
        <f aca="false">TEXT(A992,"dddd")</f>
        <v>Thursday</v>
      </c>
      <c r="L992" s="17" t="str">
        <f aca="false">IF(AND(A992&gt;=DATE(2014,9,24),A992&lt;=DATE(2014,10,6)),"Promo 1",IF(AND(A992&gt;=DATE(2014,9,10),A992&lt;=DATE(2014,9,23)),"Baseline 1",IF(AND(A992&gt;=DATE(2015,9,23),A992&lt;=DATE(2015,10,6)),"Promo 2",IF(AND(A992&gt;=DATE(2015,9,9),A992&lt;=DATE(2015,9,22)),"Baseline 2",IF(AND(A992&gt;=DATE(2016,6,23),A992&lt;=DATE(2016,7,6)),"Promo 3",IF(AND(A992&gt;=DATE(2016,6,9),A992&lt;=DATE(2016,6,22)),"Baseline 3","Other"))))))</f>
        <v>Other</v>
      </c>
    </row>
    <row r="993" customFormat="false" ht="15" hidden="false" customHeight="true" outlineLevel="0" collapsed="false">
      <c r="A993" s="12" t="n">
        <v>42629</v>
      </c>
      <c r="B993" s="13" t="n">
        <v>69864.8369902195</v>
      </c>
      <c r="C993" s="13" t="n">
        <v>62545.1906845331</v>
      </c>
      <c r="D993" s="14" t="n">
        <v>1733</v>
      </c>
      <c r="E993" s="15" t="n">
        <f aca="false">B993/D993</f>
        <v>40.3143894923367</v>
      </c>
      <c r="F993" s="15" t="n">
        <f aca="false">C993/D993</f>
        <v>36.0907043765338</v>
      </c>
      <c r="G993" s="13" t="n">
        <f aca="false">B993-C993</f>
        <v>7319.64630568639</v>
      </c>
      <c r="H993" s="16" t="n">
        <f aca="false">G993/B993</f>
        <v>0.104768673642094</v>
      </c>
      <c r="I993" s="15" t="n">
        <f aca="false">G993/D993</f>
        <v>4.22368511580288</v>
      </c>
      <c r="J993" s="16" t="n">
        <f aca="false">I993/E993</f>
        <v>0.104768673642094</v>
      </c>
      <c r="K993" s="17" t="str">
        <f aca="false">TEXT(A993,"dddd")</f>
        <v>Friday</v>
      </c>
      <c r="L993" s="17" t="str">
        <f aca="false">IF(AND(A993&gt;=DATE(2014,9,24),A993&lt;=DATE(2014,10,6)),"Promo 1",IF(AND(A993&gt;=DATE(2014,9,10),A993&lt;=DATE(2014,9,23)),"Baseline 1",IF(AND(A993&gt;=DATE(2015,9,23),A993&lt;=DATE(2015,10,6)),"Promo 2",IF(AND(A993&gt;=DATE(2015,9,9),A993&lt;=DATE(2015,9,22)),"Baseline 2",IF(AND(A993&gt;=DATE(2016,6,23),A993&lt;=DATE(2016,7,6)),"Promo 3",IF(AND(A993&gt;=DATE(2016,6,9),A993&lt;=DATE(2016,6,22)),"Baseline 3","Other"))))))</f>
        <v>Other</v>
      </c>
    </row>
    <row r="994" customFormat="false" ht="15" hidden="false" customHeight="true" outlineLevel="0" collapsed="false">
      <c r="A994" s="12" t="n">
        <v>42630</v>
      </c>
      <c r="B994" s="13" t="n">
        <v>100120.711053233</v>
      </c>
      <c r="C994" s="13" t="n">
        <v>89572.4076150252</v>
      </c>
      <c r="D994" s="14" t="n">
        <v>2482</v>
      </c>
      <c r="E994" s="15" t="n">
        <f aca="false">B994/D994</f>
        <v>40.3387232285387</v>
      </c>
      <c r="F994" s="15" t="n">
        <f aca="false">C994/D994</f>
        <v>36.088802423459</v>
      </c>
      <c r="G994" s="13" t="n">
        <f aca="false">B994-C994</f>
        <v>10548.3034382078</v>
      </c>
      <c r="H994" s="16" t="n">
        <f aca="false">G994/B994</f>
        <v>0.105355858215983</v>
      </c>
      <c r="I994" s="15" t="n">
        <f aca="false">G994/D994</f>
        <v>4.2499208050797</v>
      </c>
      <c r="J994" s="16" t="n">
        <f aca="false">I994/E994</f>
        <v>0.105355858215983</v>
      </c>
      <c r="K994" s="17" t="str">
        <f aca="false">TEXT(A994,"dddd")</f>
        <v>Saturday</v>
      </c>
      <c r="L994" s="17" t="str">
        <f aca="false">IF(AND(A994&gt;=DATE(2014,9,24),A994&lt;=DATE(2014,10,6)),"Promo 1",IF(AND(A994&gt;=DATE(2014,9,10),A994&lt;=DATE(2014,9,23)),"Baseline 1",IF(AND(A994&gt;=DATE(2015,9,23),A994&lt;=DATE(2015,10,6)),"Promo 2",IF(AND(A994&gt;=DATE(2015,9,9),A994&lt;=DATE(2015,9,22)),"Baseline 2",IF(AND(A994&gt;=DATE(2016,6,23),A994&lt;=DATE(2016,7,6)),"Promo 3",IF(AND(A994&gt;=DATE(2016,6,9),A994&lt;=DATE(2016,6,22)),"Baseline 3","Other"))))))</f>
        <v>Other</v>
      </c>
    </row>
    <row r="995" customFormat="false" ht="15" hidden="false" customHeight="true" outlineLevel="0" collapsed="false">
      <c r="A995" s="12" t="n">
        <v>42631</v>
      </c>
      <c r="B995" s="13" t="n">
        <v>49825.0970354301</v>
      </c>
      <c r="C995" s="13" t="n">
        <v>44593.7968833953</v>
      </c>
      <c r="D995" s="14" t="n">
        <v>1235</v>
      </c>
      <c r="E995" s="15" t="n">
        <f aca="false">B995/D995</f>
        <v>40.3442081258543</v>
      </c>
      <c r="F995" s="15" t="n">
        <f aca="false">C995/D995</f>
        <v>36.1083375574051</v>
      </c>
      <c r="G995" s="13" t="n">
        <f aca="false">B995-C995</f>
        <v>5231.3001520348</v>
      </c>
      <c r="H995" s="16" t="n">
        <f aca="false">G995/B995</f>
        <v>0.104993275744448</v>
      </c>
      <c r="I995" s="15" t="n">
        <f aca="false">G995/D995</f>
        <v>4.23587056844924</v>
      </c>
      <c r="J995" s="16" t="n">
        <f aca="false">I995/E995</f>
        <v>0.104993275744448</v>
      </c>
      <c r="K995" s="17" t="str">
        <f aca="false">TEXT(A995,"dddd")</f>
        <v>Sunday</v>
      </c>
      <c r="L995" s="17" t="str">
        <f aca="false">IF(AND(A995&gt;=DATE(2014,9,24),A995&lt;=DATE(2014,10,6)),"Promo 1",IF(AND(A995&gt;=DATE(2014,9,10),A995&lt;=DATE(2014,9,23)),"Baseline 1",IF(AND(A995&gt;=DATE(2015,9,23),A995&lt;=DATE(2015,10,6)),"Promo 2",IF(AND(A995&gt;=DATE(2015,9,9),A995&lt;=DATE(2015,9,22)),"Baseline 2",IF(AND(A995&gt;=DATE(2016,6,23),A995&lt;=DATE(2016,7,6)),"Promo 3",IF(AND(A995&gt;=DATE(2016,6,9),A995&lt;=DATE(2016,6,22)),"Baseline 3","Other"))))))</f>
        <v>Other</v>
      </c>
    </row>
    <row r="996" customFormat="false" ht="15" hidden="false" customHeight="true" outlineLevel="0" collapsed="false">
      <c r="A996" s="12" t="n">
        <v>42632</v>
      </c>
      <c r="B996" s="13" t="n">
        <v>46566.4620520403</v>
      </c>
      <c r="C996" s="13" t="n">
        <v>41660.4404260837</v>
      </c>
      <c r="D996" s="14" t="n">
        <v>1155</v>
      </c>
      <c r="E996" s="15" t="n">
        <f aca="false">B996/D996</f>
        <v>40.3172831619397</v>
      </c>
      <c r="F996" s="15" t="n">
        <f aca="false">C996/D996</f>
        <v>36.0696453905487</v>
      </c>
      <c r="G996" s="13" t="n">
        <f aca="false">B996-C996</f>
        <v>4906.0216259566</v>
      </c>
      <c r="H996" s="16" t="n">
        <f aca="false">G996/B996</f>
        <v>0.10535525804975</v>
      </c>
      <c r="I996" s="15" t="n">
        <f aca="false">G996/D996</f>
        <v>4.247637771391</v>
      </c>
      <c r="J996" s="16" t="n">
        <f aca="false">I996/E996</f>
        <v>0.10535525804975</v>
      </c>
      <c r="K996" s="17" t="str">
        <f aca="false">TEXT(A996,"dddd")</f>
        <v>Monday</v>
      </c>
      <c r="L996" s="17" t="str">
        <f aca="false">IF(AND(A996&gt;=DATE(2014,9,24),A996&lt;=DATE(2014,10,6)),"Promo 1",IF(AND(A996&gt;=DATE(2014,9,10),A996&lt;=DATE(2014,9,23)),"Baseline 1",IF(AND(A996&gt;=DATE(2015,9,23),A996&lt;=DATE(2015,10,6)),"Promo 2",IF(AND(A996&gt;=DATE(2015,9,9),A996&lt;=DATE(2015,9,22)),"Baseline 2",IF(AND(A996&gt;=DATE(2016,6,23),A996&lt;=DATE(2016,7,6)),"Promo 3",IF(AND(A996&gt;=DATE(2016,6,9),A996&lt;=DATE(2016,6,22)),"Baseline 3","Other"))))))</f>
        <v>Other</v>
      </c>
    </row>
    <row r="997" customFormat="false" ht="15" hidden="false" customHeight="true" outlineLevel="0" collapsed="false">
      <c r="A997" s="12" t="n">
        <v>42633</v>
      </c>
      <c r="B997" s="13" t="n">
        <v>37923.7658557854</v>
      </c>
      <c r="C997" s="13" t="n">
        <v>34031.1494871151</v>
      </c>
      <c r="D997" s="14" t="n">
        <v>940</v>
      </c>
      <c r="E997" s="15" t="n">
        <f aca="false">B997/D997</f>
        <v>40.3444317614738</v>
      </c>
      <c r="F997" s="15" t="n">
        <f aca="false">C997/D997</f>
        <v>36.2033505182076</v>
      </c>
      <c r="G997" s="13" t="n">
        <f aca="false">B997-C997</f>
        <v>3892.6163686703</v>
      </c>
      <c r="H997" s="16" t="n">
        <f aca="false">G997/B997</f>
        <v>0.102643191698655</v>
      </c>
      <c r="I997" s="15" t="n">
        <f aca="false">G997/D997</f>
        <v>4.14108124326628</v>
      </c>
      <c r="J997" s="16" t="n">
        <f aca="false">I997/E997</f>
        <v>0.102643191698655</v>
      </c>
      <c r="K997" s="17" t="str">
        <f aca="false">TEXT(A997,"dddd")</f>
        <v>Tuesday</v>
      </c>
      <c r="L997" s="17" t="str">
        <f aca="false">IF(AND(A997&gt;=DATE(2014,9,24),A997&lt;=DATE(2014,10,6)),"Promo 1",IF(AND(A997&gt;=DATE(2014,9,10),A997&lt;=DATE(2014,9,23)),"Baseline 1",IF(AND(A997&gt;=DATE(2015,9,23),A997&lt;=DATE(2015,10,6)),"Promo 2",IF(AND(A997&gt;=DATE(2015,9,9),A997&lt;=DATE(2015,9,22)),"Baseline 2",IF(AND(A997&gt;=DATE(2016,6,23),A997&lt;=DATE(2016,7,6)),"Promo 3",IF(AND(A997&gt;=DATE(2016,6,9),A997&lt;=DATE(2016,6,22)),"Baseline 3","Other"))))))</f>
        <v>Other</v>
      </c>
    </row>
    <row r="998" customFormat="false" ht="15" hidden="false" customHeight="true" outlineLevel="0" collapsed="false">
      <c r="A998" s="12" t="n">
        <v>42634</v>
      </c>
      <c r="B998" s="13" t="n">
        <v>50084.8127020653</v>
      </c>
      <c r="C998" s="13" t="n">
        <v>44832.2125989772</v>
      </c>
      <c r="D998" s="14" t="n">
        <v>1241</v>
      </c>
      <c r="E998" s="15" t="n">
        <f aca="false">B998/D998</f>
        <v>40.3584308638721</v>
      </c>
      <c r="F998" s="15" t="n">
        <f aca="false">C998/D998</f>
        <v>36.1258763891839</v>
      </c>
      <c r="G998" s="13" t="n">
        <f aca="false">B998-C998</f>
        <v>5252.60010308809</v>
      </c>
      <c r="H998" s="16" t="n">
        <f aca="false">G998/B998</f>
        <v>0.10487410893066</v>
      </c>
      <c r="I998" s="15" t="n">
        <f aca="false">G998/D998</f>
        <v>4.23255447468823</v>
      </c>
      <c r="J998" s="16" t="n">
        <f aca="false">I998/E998</f>
        <v>0.10487410893066</v>
      </c>
      <c r="K998" s="17" t="str">
        <f aca="false">TEXT(A998,"dddd")</f>
        <v>Wednesday</v>
      </c>
      <c r="L998" s="17" t="str">
        <f aca="false">IF(AND(A998&gt;=DATE(2014,9,24),A998&lt;=DATE(2014,10,6)),"Promo 1",IF(AND(A998&gt;=DATE(2014,9,10),A998&lt;=DATE(2014,9,23)),"Baseline 1",IF(AND(A998&gt;=DATE(2015,9,23),A998&lt;=DATE(2015,10,6)),"Promo 2",IF(AND(A998&gt;=DATE(2015,9,9),A998&lt;=DATE(2015,9,22)),"Baseline 2",IF(AND(A998&gt;=DATE(2016,6,23),A998&lt;=DATE(2016,7,6)),"Promo 3",IF(AND(A998&gt;=DATE(2016,6,9),A998&lt;=DATE(2016,6,22)),"Baseline 3","Other"))))))</f>
        <v>Other</v>
      </c>
    </row>
    <row r="999" customFormat="false" ht="15" hidden="false" customHeight="true" outlineLevel="0" collapsed="false">
      <c r="A999" s="12" t="n">
        <v>42635</v>
      </c>
      <c r="B999" s="13" t="n">
        <v>41885.8282782804</v>
      </c>
      <c r="C999" s="13" t="n">
        <v>37565.4785909277</v>
      </c>
      <c r="D999" s="14" t="n">
        <v>1039</v>
      </c>
      <c r="E999" s="15" t="n">
        <f aca="false">B999/D999</f>
        <v>40.3135979579215</v>
      </c>
      <c r="F999" s="15" t="n">
        <f aca="false">C999/D999</f>
        <v>36.1554173156186</v>
      </c>
      <c r="G999" s="13" t="n">
        <f aca="false">B999-C999</f>
        <v>4320.3496873527</v>
      </c>
      <c r="H999" s="16" t="n">
        <f aca="false">G999/B999</f>
        <v>0.103145857798233</v>
      </c>
      <c r="I999" s="15" t="n">
        <f aca="false">G999/D999</f>
        <v>4.15818064230289</v>
      </c>
      <c r="J999" s="16" t="n">
        <f aca="false">I999/E999</f>
        <v>0.103145857798233</v>
      </c>
      <c r="K999" s="17" t="str">
        <f aca="false">TEXT(A999,"dddd")</f>
        <v>Thursday</v>
      </c>
      <c r="L999" s="17" t="str">
        <f aca="false">IF(AND(A999&gt;=DATE(2014,9,24),A999&lt;=DATE(2014,10,6)),"Promo 1",IF(AND(A999&gt;=DATE(2014,9,10),A999&lt;=DATE(2014,9,23)),"Baseline 1",IF(AND(A999&gt;=DATE(2015,9,23),A999&lt;=DATE(2015,10,6)),"Promo 2",IF(AND(A999&gt;=DATE(2015,9,9),A999&lt;=DATE(2015,9,22)),"Baseline 2",IF(AND(A999&gt;=DATE(2016,6,23),A999&lt;=DATE(2016,7,6)),"Promo 3",IF(AND(A999&gt;=DATE(2016,6,9),A999&lt;=DATE(2016,6,22)),"Baseline 3","Other"))))))</f>
        <v>Other</v>
      </c>
    </row>
    <row r="1000" customFormat="false" ht="15" hidden="false" customHeight="true" outlineLevel="0" collapsed="false">
      <c r="A1000" s="12" t="n">
        <v>42636</v>
      </c>
      <c r="B1000" s="13" t="n">
        <v>147503.573158325</v>
      </c>
      <c r="C1000" s="13" t="n">
        <v>131964.515793699</v>
      </c>
      <c r="D1000" s="14" t="n">
        <v>3657</v>
      </c>
      <c r="E1000" s="15" t="n">
        <f aca="false">B1000/D1000</f>
        <v>40.3345838551613</v>
      </c>
      <c r="F1000" s="15" t="n">
        <f aca="false">C1000/D1000</f>
        <v>36.0854568754988</v>
      </c>
      <c r="G1000" s="13" t="n">
        <f aca="false">B1000-C1000</f>
        <v>15539.057364626</v>
      </c>
      <c r="H1000" s="16" t="n">
        <f aca="false">G1000/B1000</f>
        <v>0.105346989445109</v>
      </c>
      <c r="I1000" s="15" t="n">
        <f aca="false">G1000/D1000</f>
        <v>4.24912697966256</v>
      </c>
      <c r="J1000" s="16" t="n">
        <f aca="false">I1000/E1000</f>
        <v>0.105346989445109</v>
      </c>
      <c r="K1000" s="17" t="str">
        <f aca="false">TEXT(A1000,"dddd")</f>
        <v>Friday</v>
      </c>
      <c r="L1000" s="17" t="str">
        <f aca="false">IF(AND(A1000&gt;=DATE(2014,9,24),A1000&lt;=DATE(2014,10,6)),"Promo 1",IF(AND(A1000&gt;=DATE(2014,9,10),A1000&lt;=DATE(2014,9,23)),"Baseline 1",IF(AND(A1000&gt;=DATE(2015,9,23),A1000&lt;=DATE(2015,10,6)),"Promo 2",IF(AND(A1000&gt;=DATE(2015,9,9),A1000&lt;=DATE(2015,9,22)),"Baseline 2",IF(AND(A1000&gt;=DATE(2016,6,23),A1000&lt;=DATE(2016,7,6)),"Promo 3",IF(AND(A1000&gt;=DATE(2016,6,9),A1000&lt;=DATE(2016,6,22)),"Baseline 3","Other"))))))</f>
        <v>Other</v>
      </c>
    </row>
    <row r="1001" customFormat="false" ht="15" hidden="false" customHeight="true" outlineLevel="0" collapsed="false">
      <c r="A1001" s="12" t="n">
        <v>42637</v>
      </c>
      <c r="B1001" s="13" t="n">
        <v>151639.183843411</v>
      </c>
      <c r="C1001" s="13" t="n">
        <v>135498.163197194</v>
      </c>
      <c r="D1001" s="14" t="n">
        <v>3758</v>
      </c>
      <c r="E1001" s="15" t="n">
        <f aca="false">B1001/D1001</f>
        <v>40.3510334868044</v>
      </c>
      <c r="F1001" s="15" t="n">
        <f aca="false">C1001/D1001</f>
        <v>36.0559242142613</v>
      </c>
      <c r="G1001" s="13" t="n">
        <f aca="false">B1001-C1001</f>
        <v>16141.020646217</v>
      </c>
      <c r="H1001" s="16" t="n">
        <f aca="false">G1001/B1001</f>
        <v>0.106443600111202</v>
      </c>
      <c r="I1001" s="15" t="n">
        <f aca="false">G1001/D1001</f>
        <v>4.29510927254311</v>
      </c>
      <c r="J1001" s="16" t="n">
        <f aca="false">I1001/E1001</f>
        <v>0.106443600111202</v>
      </c>
      <c r="K1001" s="17" t="str">
        <f aca="false">TEXT(A1001,"dddd")</f>
        <v>Saturday</v>
      </c>
      <c r="L1001" s="17" t="str">
        <f aca="false">IF(AND(A1001&gt;=DATE(2014,9,24),A1001&lt;=DATE(2014,10,6)),"Promo 1",IF(AND(A1001&gt;=DATE(2014,9,10),A1001&lt;=DATE(2014,9,23)),"Baseline 1",IF(AND(A1001&gt;=DATE(2015,9,23),A1001&lt;=DATE(2015,10,6)),"Promo 2",IF(AND(A1001&gt;=DATE(2015,9,9),A1001&lt;=DATE(2015,9,22)),"Baseline 2",IF(AND(A1001&gt;=DATE(2016,6,23),A1001&lt;=DATE(2016,7,6)),"Promo 3",IF(AND(A1001&gt;=DATE(2016,6,9),A1001&lt;=DATE(2016,6,22)),"Baseline 3","Other"))))))</f>
        <v>Other</v>
      </c>
    </row>
    <row r="1002" customFormat="false" ht="15" hidden="false" customHeight="true" outlineLevel="0" collapsed="false">
      <c r="A1002" s="12" t="n">
        <v>42638</v>
      </c>
      <c r="B1002" s="13" t="n">
        <v>72457.2975876545</v>
      </c>
      <c r="C1002" s="13" t="n">
        <v>64758.5041735805</v>
      </c>
      <c r="D1002" s="14" t="n">
        <v>1797</v>
      </c>
      <c r="E1002" s="15" t="n">
        <f aca="false">B1002/D1002</f>
        <v>40.3212563092123</v>
      </c>
      <c r="F1002" s="15" t="n">
        <f aca="false">C1002/D1002</f>
        <v>36.03700844384</v>
      </c>
      <c r="G1002" s="13" t="n">
        <f aca="false">B1002-C1002</f>
        <v>7698.793414074</v>
      </c>
      <c r="H1002" s="16" t="n">
        <f aca="false">G1002/B1002</f>
        <v>0.106252836779628</v>
      </c>
      <c r="I1002" s="15" t="n">
        <f aca="false">G1002/D1002</f>
        <v>4.28424786537229</v>
      </c>
      <c r="J1002" s="16" t="n">
        <f aca="false">I1002/E1002</f>
        <v>0.106252836779628</v>
      </c>
      <c r="K1002" s="17" t="str">
        <f aca="false">TEXT(A1002,"dddd")</f>
        <v>Sunday</v>
      </c>
      <c r="L1002" s="17" t="str">
        <f aca="false">IF(AND(A1002&gt;=DATE(2014,9,24),A1002&lt;=DATE(2014,10,6)),"Promo 1",IF(AND(A1002&gt;=DATE(2014,9,10),A1002&lt;=DATE(2014,9,23)),"Baseline 1",IF(AND(A1002&gt;=DATE(2015,9,23),A1002&lt;=DATE(2015,10,6)),"Promo 2",IF(AND(A1002&gt;=DATE(2015,9,9),A1002&lt;=DATE(2015,9,22)),"Baseline 2",IF(AND(A1002&gt;=DATE(2016,6,23),A1002&lt;=DATE(2016,7,6)),"Promo 3",IF(AND(A1002&gt;=DATE(2016,6,9),A1002&lt;=DATE(2016,6,22)),"Baseline 3","Other"))))))</f>
        <v>Other</v>
      </c>
    </row>
    <row r="1003" customFormat="false" ht="15" hidden="false" customHeight="true" outlineLevel="0" collapsed="false">
      <c r="A1003" s="12" t="n">
        <v>42639</v>
      </c>
      <c r="B1003" s="13" t="n">
        <v>67355.0611824146</v>
      </c>
      <c r="C1003" s="13" t="n">
        <v>60179.0208493165</v>
      </c>
      <c r="D1003" s="14" t="n">
        <v>1671</v>
      </c>
      <c r="E1003" s="15" t="n">
        <f aca="false">B1003/D1003</f>
        <v>40.3082352976748</v>
      </c>
      <c r="F1003" s="15" t="n">
        <f aca="false">C1003/D1003</f>
        <v>36.0137766901954</v>
      </c>
      <c r="G1003" s="13" t="n">
        <f aca="false">B1003-C1003</f>
        <v>7176.04033309811</v>
      </c>
      <c r="H1003" s="16" t="n">
        <f aca="false">G1003/B1003</f>
        <v>0.106540476797483</v>
      </c>
      <c r="I1003" s="15" t="n">
        <f aca="false">G1003/D1003</f>
        <v>4.29445860747942</v>
      </c>
      <c r="J1003" s="16" t="n">
        <f aca="false">I1003/E1003</f>
        <v>0.106540476797483</v>
      </c>
      <c r="K1003" s="17" t="str">
        <f aca="false">TEXT(A1003,"dddd")</f>
        <v>Monday</v>
      </c>
      <c r="L1003" s="17" t="str">
        <f aca="false">IF(AND(A1003&gt;=DATE(2014,9,24),A1003&lt;=DATE(2014,10,6)),"Promo 1",IF(AND(A1003&gt;=DATE(2014,9,10),A1003&lt;=DATE(2014,9,23)),"Baseline 1",IF(AND(A1003&gt;=DATE(2015,9,23),A1003&lt;=DATE(2015,10,6)),"Promo 2",IF(AND(A1003&gt;=DATE(2015,9,9),A1003&lt;=DATE(2015,9,22)),"Baseline 2",IF(AND(A1003&gt;=DATE(2016,6,23),A1003&lt;=DATE(2016,7,6)),"Promo 3",IF(AND(A1003&gt;=DATE(2016,6,9),A1003&lt;=DATE(2016,6,22)),"Baseline 3","Other"))))))</f>
        <v>Other</v>
      </c>
    </row>
    <row r="1004" customFormat="false" ht="15" hidden="false" customHeight="true" outlineLevel="0" collapsed="false">
      <c r="A1004" s="12" t="n">
        <v>42640</v>
      </c>
      <c r="B1004" s="13" t="n">
        <v>58941.7928284749</v>
      </c>
      <c r="C1004" s="13" t="n">
        <v>52812.7825145229</v>
      </c>
      <c r="D1004" s="14" t="n">
        <v>1462</v>
      </c>
      <c r="E1004" s="15" t="n">
        <f aca="false">B1004/D1004</f>
        <v>40.3158637677667</v>
      </c>
      <c r="F1004" s="15" t="n">
        <f aca="false">C1004/D1004</f>
        <v>36.1236542506997</v>
      </c>
      <c r="G1004" s="13" t="n">
        <f aca="false">B1004-C1004</f>
        <v>6129.010313952</v>
      </c>
      <c r="H1004" s="16" t="n">
        <f aca="false">G1004/B1004</f>
        <v>0.103984117547763</v>
      </c>
      <c r="I1004" s="15" t="n">
        <f aca="false">G1004/D1004</f>
        <v>4.19220951706703</v>
      </c>
      <c r="J1004" s="16" t="n">
        <f aca="false">I1004/E1004</f>
        <v>0.103984117547763</v>
      </c>
      <c r="K1004" s="17" t="str">
        <f aca="false">TEXT(A1004,"dddd")</f>
        <v>Tuesday</v>
      </c>
      <c r="L1004" s="17" t="str">
        <f aca="false">IF(AND(A1004&gt;=DATE(2014,9,24),A1004&lt;=DATE(2014,10,6)),"Promo 1",IF(AND(A1004&gt;=DATE(2014,9,10),A1004&lt;=DATE(2014,9,23)),"Baseline 1",IF(AND(A1004&gt;=DATE(2015,9,23),A1004&lt;=DATE(2015,10,6)),"Promo 2",IF(AND(A1004&gt;=DATE(2015,9,9),A1004&lt;=DATE(2015,9,22)),"Baseline 2",IF(AND(A1004&gt;=DATE(2016,6,23),A1004&lt;=DATE(2016,7,6)),"Promo 3",IF(AND(A1004&gt;=DATE(2016,6,9),A1004&lt;=DATE(2016,6,22)),"Baseline 3","Other"))))))</f>
        <v>Other</v>
      </c>
    </row>
    <row r="1005" customFormat="false" ht="15" hidden="false" customHeight="true" outlineLevel="0" collapsed="false">
      <c r="A1005" s="12" t="n">
        <v>42641</v>
      </c>
      <c r="B1005" s="13" t="n">
        <v>58796.7850157246</v>
      </c>
      <c r="C1005" s="13" t="n">
        <v>57168.5604984329</v>
      </c>
      <c r="D1005" s="14" t="n">
        <v>1581</v>
      </c>
      <c r="E1005" s="15" t="n">
        <f aca="false">B1005/D1005</f>
        <v>37.1896173407493</v>
      </c>
      <c r="F1005" s="15" t="n">
        <f aca="false">C1005/D1005</f>
        <v>36.1597473108368</v>
      </c>
      <c r="G1005" s="13" t="n">
        <f aca="false">B1005-C1005</f>
        <v>1628.2245172917</v>
      </c>
      <c r="H1005" s="16" t="n">
        <f aca="false">G1005/B1005</f>
        <v>0.0276924072779872</v>
      </c>
      <c r="I1005" s="15" t="n">
        <f aca="false">G1005/D1005</f>
        <v>1.02987002991253</v>
      </c>
      <c r="J1005" s="16" t="n">
        <f aca="false">I1005/E1005</f>
        <v>0.0276924072779872</v>
      </c>
      <c r="K1005" s="17" t="str">
        <f aca="false">TEXT(A1005,"dddd")</f>
        <v>Wednesday</v>
      </c>
      <c r="L1005" s="17" t="str">
        <f aca="false">IF(AND(A1005&gt;=DATE(2014,9,24),A1005&lt;=DATE(2014,10,6)),"Promo 1",IF(AND(A1005&gt;=DATE(2014,9,10),A1005&lt;=DATE(2014,9,23)),"Baseline 1",IF(AND(A1005&gt;=DATE(2015,9,23),A1005&lt;=DATE(2015,10,6)),"Promo 2",IF(AND(A1005&gt;=DATE(2015,9,9),A1005&lt;=DATE(2015,9,22)),"Baseline 2",IF(AND(A1005&gt;=DATE(2016,6,23),A1005&lt;=DATE(2016,7,6)),"Promo 3",IF(AND(A1005&gt;=DATE(2016,6,9),A1005&lt;=DATE(2016,6,22)),"Baseline 3","Other"))))))</f>
        <v>Other</v>
      </c>
    </row>
    <row r="1006" customFormat="false" ht="15" hidden="false" customHeight="true" outlineLevel="0" collapsed="false">
      <c r="A1006" s="12" t="n">
        <v>42642</v>
      </c>
      <c r="B1006" s="13" t="n">
        <v>57019.3896713946</v>
      </c>
      <c r="C1006" s="13" t="n">
        <v>55187.3839062719</v>
      </c>
      <c r="D1006" s="14" t="n">
        <v>1534</v>
      </c>
      <c r="E1006" s="15" t="n">
        <f aca="false">B1006/D1006</f>
        <v>37.1703974389795</v>
      </c>
      <c r="F1006" s="15" t="n">
        <f aca="false">C1006/D1006</f>
        <v>35.976130316996</v>
      </c>
      <c r="G1006" s="13" t="n">
        <f aca="false">B1006-C1006</f>
        <v>1832.0057651227</v>
      </c>
      <c r="H1006" s="16" t="n">
        <f aca="false">G1006/B1006</f>
        <v>0.0321295225305048</v>
      </c>
      <c r="I1006" s="15" t="n">
        <f aca="false">G1006/D1006</f>
        <v>1.19426712198351</v>
      </c>
      <c r="J1006" s="16" t="n">
        <f aca="false">I1006/E1006</f>
        <v>0.0321295225305048</v>
      </c>
      <c r="K1006" s="17" t="str">
        <f aca="false">TEXT(A1006,"dddd")</f>
        <v>Thursday</v>
      </c>
      <c r="L1006" s="17" t="str">
        <f aca="false">IF(AND(A1006&gt;=DATE(2014,9,24),A1006&lt;=DATE(2014,10,6)),"Promo 1",IF(AND(A1006&gt;=DATE(2014,9,10),A1006&lt;=DATE(2014,9,23)),"Baseline 1",IF(AND(A1006&gt;=DATE(2015,9,23),A1006&lt;=DATE(2015,10,6)),"Promo 2",IF(AND(A1006&gt;=DATE(2015,9,9),A1006&lt;=DATE(2015,9,22)),"Baseline 2",IF(AND(A1006&gt;=DATE(2016,6,23),A1006&lt;=DATE(2016,7,6)),"Promo 3",IF(AND(A1006&gt;=DATE(2016,6,9),A1006&lt;=DATE(2016,6,22)),"Baseline 3","Other"))))))</f>
        <v>Other</v>
      </c>
    </row>
    <row r="1007" customFormat="false" ht="15" hidden="false" customHeight="true" outlineLevel="0" collapsed="false">
      <c r="A1007" s="12" t="n">
        <v>42643</v>
      </c>
      <c r="B1007" s="13" t="n">
        <v>155918.382599483</v>
      </c>
      <c r="C1007" s="13" t="n">
        <v>151036.445518587</v>
      </c>
      <c r="D1007" s="14" t="n">
        <v>4216</v>
      </c>
      <c r="E1007" s="15" t="n">
        <f aca="false">B1007/D1007</f>
        <v>36.9825385672398</v>
      </c>
      <c r="F1007" s="15" t="n">
        <f aca="false">C1007/D1007</f>
        <v>35.8245838516573</v>
      </c>
      <c r="G1007" s="13" t="n">
        <f aca="false">B1007-C1007</f>
        <v>4881.93708089602</v>
      </c>
      <c r="H1007" s="16" t="n">
        <f aca="false">G1007/B1007</f>
        <v>0.031310849942797</v>
      </c>
      <c r="I1007" s="15" t="n">
        <f aca="false">G1007/D1007</f>
        <v>1.15795471558255</v>
      </c>
      <c r="J1007" s="16" t="n">
        <f aca="false">I1007/E1007</f>
        <v>0.031310849942797</v>
      </c>
      <c r="K1007" s="17" t="str">
        <f aca="false">TEXT(A1007,"dddd")</f>
        <v>Friday</v>
      </c>
      <c r="L1007" s="17" t="str">
        <f aca="false">IF(AND(A1007&gt;=DATE(2014,9,24),A1007&lt;=DATE(2014,10,6)),"Promo 1",IF(AND(A1007&gt;=DATE(2014,9,10),A1007&lt;=DATE(2014,9,23)),"Baseline 1",IF(AND(A1007&gt;=DATE(2015,9,23),A1007&lt;=DATE(2015,10,6)),"Promo 2",IF(AND(A1007&gt;=DATE(2015,9,9),A1007&lt;=DATE(2015,9,22)),"Baseline 2",IF(AND(A1007&gt;=DATE(2016,6,23),A1007&lt;=DATE(2016,7,6)),"Promo 3",IF(AND(A1007&gt;=DATE(2016,6,9),A1007&lt;=DATE(2016,6,22)),"Baseline 3","Other"))))))</f>
        <v>Other</v>
      </c>
    </row>
    <row r="1008" customFormat="false" ht="15" hidden="false" customHeight="true" outlineLevel="0" collapsed="false">
      <c r="A1008" s="12" t="n">
        <v>42644</v>
      </c>
      <c r="B1008" s="13" t="n">
        <v>208489.09032479</v>
      </c>
      <c r="C1008" s="13" t="n">
        <v>201416.837590065</v>
      </c>
      <c r="D1008" s="14" t="n">
        <v>5632</v>
      </c>
      <c r="E1008" s="15" t="n">
        <f aca="false">B1008/D1008</f>
        <v>37.0186595036914</v>
      </c>
      <c r="F1008" s="15" t="n">
        <f aca="false">C1008/D1008</f>
        <v>35.762932810736</v>
      </c>
      <c r="G1008" s="13" t="n">
        <f aca="false">B1008-C1008</f>
        <v>7072.25273472501</v>
      </c>
      <c r="H1008" s="16" t="n">
        <f aca="false">G1008/B1008</f>
        <v>0.0339214523105629</v>
      </c>
      <c r="I1008" s="15" t="n">
        <f aca="false">G1008/D1008</f>
        <v>1.25572669295544</v>
      </c>
      <c r="J1008" s="16" t="n">
        <f aca="false">I1008/E1008</f>
        <v>0.0339214523105629</v>
      </c>
      <c r="K1008" s="17" t="str">
        <f aca="false">TEXT(A1008,"dddd")</f>
        <v>Saturday</v>
      </c>
      <c r="L1008" s="17" t="str">
        <f aca="false">IF(AND(A1008&gt;=DATE(2014,9,24),A1008&lt;=DATE(2014,10,6)),"Promo 1",IF(AND(A1008&gt;=DATE(2014,9,10),A1008&lt;=DATE(2014,9,23)),"Baseline 1",IF(AND(A1008&gt;=DATE(2015,9,23),A1008&lt;=DATE(2015,10,6)),"Promo 2",IF(AND(A1008&gt;=DATE(2015,9,9),A1008&lt;=DATE(2015,9,22)),"Baseline 2",IF(AND(A1008&gt;=DATE(2016,6,23),A1008&lt;=DATE(2016,7,6)),"Promo 3",IF(AND(A1008&gt;=DATE(2016,6,9),A1008&lt;=DATE(2016,6,22)),"Baseline 3","Other"))))))</f>
        <v>Other</v>
      </c>
    </row>
    <row r="1009" customFormat="false" ht="15" hidden="false" customHeight="true" outlineLevel="0" collapsed="false">
      <c r="A1009" s="12" t="n">
        <v>42645</v>
      </c>
      <c r="B1009" s="13" t="n">
        <v>118580.472576298</v>
      </c>
      <c r="C1009" s="13" t="n">
        <v>113346.957268526</v>
      </c>
      <c r="D1009" s="14" t="n">
        <v>3173</v>
      </c>
      <c r="E1009" s="15" t="n">
        <f aca="false">B1009/D1009</f>
        <v>37.3717215809322</v>
      </c>
      <c r="F1009" s="15" t="n">
        <f aca="false">C1009/D1009</f>
        <v>35.7223313169007</v>
      </c>
      <c r="G1009" s="13" t="n">
        <f aca="false">B1009-C1009</f>
        <v>5233.51530777199</v>
      </c>
      <c r="H1009" s="16" t="n">
        <f aca="false">G1009/B1009</f>
        <v>0.0441347145450495</v>
      </c>
      <c r="I1009" s="15" t="n">
        <f aca="false">G1009/D1009</f>
        <v>1.64939026403151</v>
      </c>
      <c r="J1009" s="16" t="n">
        <f aca="false">I1009/E1009</f>
        <v>0.0441347145450495</v>
      </c>
      <c r="K1009" s="17" t="str">
        <f aca="false">TEXT(A1009,"dddd")</f>
        <v>Sunday</v>
      </c>
      <c r="L1009" s="17" t="str">
        <f aca="false">IF(AND(A1009&gt;=DATE(2014,9,24),A1009&lt;=DATE(2014,10,6)),"Promo 1",IF(AND(A1009&gt;=DATE(2014,9,10),A1009&lt;=DATE(2014,9,23)),"Baseline 1",IF(AND(A1009&gt;=DATE(2015,9,23),A1009&lt;=DATE(2015,10,6)),"Promo 2",IF(AND(A1009&gt;=DATE(2015,9,9),A1009&lt;=DATE(2015,9,22)),"Baseline 2",IF(AND(A1009&gt;=DATE(2016,6,23),A1009&lt;=DATE(2016,7,6)),"Promo 3",IF(AND(A1009&gt;=DATE(2016,6,9),A1009&lt;=DATE(2016,6,22)),"Baseline 3","Other"))))))</f>
        <v>Other</v>
      </c>
    </row>
    <row r="1010" customFormat="false" ht="15" hidden="false" customHeight="true" outlineLevel="0" collapsed="false">
      <c r="A1010" s="12" t="n">
        <v>42646</v>
      </c>
      <c r="B1010" s="13" t="n">
        <v>142758.881121511</v>
      </c>
      <c r="C1010" s="13" t="n">
        <v>126506.344682148</v>
      </c>
      <c r="D1010" s="14" t="n">
        <v>3540</v>
      </c>
      <c r="E1010" s="15" t="n">
        <f aca="false">B1010/D1010</f>
        <v>40.3273675484494</v>
      </c>
      <c r="F1010" s="15" t="n">
        <f aca="false">C1010/D1010</f>
        <v>35.7362555599288</v>
      </c>
      <c r="G1010" s="13" t="n">
        <f aca="false">B1010-C1010</f>
        <v>16252.536439363</v>
      </c>
      <c r="H1010" s="16" t="n">
        <f aca="false">G1010/B1010</f>
        <v>0.113846062057109</v>
      </c>
      <c r="I1010" s="15" t="n">
        <f aca="false">G1010/D1010</f>
        <v>4.59111198852062</v>
      </c>
      <c r="J1010" s="16" t="n">
        <f aca="false">I1010/E1010</f>
        <v>0.113846062057109</v>
      </c>
      <c r="K1010" s="17" t="str">
        <f aca="false">TEXT(A1010,"dddd")</f>
        <v>Monday</v>
      </c>
      <c r="L1010" s="17" t="str">
        <f aca="false">IF(AND(A1010&gt;=DATE(2014,9,24),A1010&lt;=DATE(2014,10,6)),"Promo 1",IF(AND(A1010&gt;=DATE(2014,9,10),A1010&lt;=DATE(2014,9,23)),"Baseline 1",IF(AND(A1010&gt;=DATE(2015,9,23),A1010&lt;=DATE(2015,10,6)),"Promo 2",IF(AND(A1010&gt;=DATE(2015,9,9),A1010&lt;=DATE(2015,9,22)),"Baseline 2",IF(AND(A1010&gt;=DATE(2016,6,23),A1010&lt;=DATE(2016,7,6)),"Promo 3",IF(AND(A1010&gt;=DATE(2016,6,9),A1010&lt;=DATE(2016,6,22)),"Baseline 3","Other"))))))</f>
        <v>Other</v>
      </c>
    </row>
    <row r="1011" customFormat="false" ht="15" hidden="false" customHeight="true" outlineLevel="0" collapsed="false">
      <c r="A1011" s="12" t="n">
        <v>42647</v>
      </c>
      <c r="B1011" s="13" t="n">
        <v>96620.9869297833</v>
      </c>
      <c r="C1011" s="13" t="n">
        <v>85491.8332444224</v>
      </c>
      <c r="D1011" s="14" t="n">
        <v>2397</v>
      </c>
      <c r="E1011" s="15" t="n">
        <f aca="false">B1011/D1011</f>
        <v>40.3091309677861</v>
      </c>
      <c r="F1011" s="15" t="n">
        <f aca="false">C1011/D1011</f>
        <v>35.6661799100636</v>
      </c>
      <c r="G1011" s="13" t="n">
        <f aca="false">B1011-C1011</f>
        <v>11129.1536853609</v>
      </c>
      <c r="H1011" s="16" t="n">
        <f aca="false">G1011/B1011</f>
        <v>0.115183605953526</v>
      </c>
      <c r="I1011" s="15" t="n">
        <f aca="false">G1011/D1011</f>
        <v>4.64295105772253</v>
      </c>
      <c r="J1011" s="16" t="n">
        <f aca="false">I1011/E1011</f>
        <v>0.115183605953526</v>
      </c>
      <c r="K1011" s="17" t="str">
        <f aca="false">TEXT(A1011,"dddd")</f>
        <v>Tuesday</v>
      </c>
      <c r="L1011" s="17" t="str">
        <f aca="false">IF(AND(A1011&gt;=DATE(2014,9,24),A1011&lt;=DATE(2014,10,6)),"Promo 1",IF(AND(A1011&gt;=DATE(2014,9,10),A1011&lt;=DATE(2014,9,23)),"Baseline 1",IF(AND(A1011&gt;=DATE(2015,9,23),A1011&lt;=DATE(2015,10,6)),"Promo 2",IF(AND(A1011&gt;=DATE(2015,9,9),A1011&lt;=DATE(2015,9,22)),"Baseline 2",IF(AND(A1011&gt;=DATE(2016,6,23),A1011&lt;=DATE(2016,7,6)),"Promo 3",IF(AND(A1011&gt;=DATE(2016,6,9),A1011&lt;=DATE(2016,6,22)),"Baseline 3","Other"))))))</f>
        <v>Other</v>
      </c>
    </row>
    <row r="1012" customFormat="false" ht="15" hidden="false" customHeight="true" outlineLevel="0" collapsed="false">
      <c r="A1012" s="12" t="n">
        <v>42648</v>
      </c>
      <c r="B1012" s="13" t="n">
        <v>78861.5949404843</v>
      </c>
      <c r="C1012" s="13" t="n">
        <v>69675.4291539854</v>
      </c>
      <c r="D1012" s="14" t="n">
        <v>1955</v>
      </c>
      <c r="E1012" s="15" t="n">
        <f aca="false">B1012/D1012</f>
        <v>40.3384117342631</v>
      </c>
      <c r="F1012" s="15" t="n">
        <f aca="false">C1012/D1012</f>
        <v>35.6396057053634</v>
      </c>
      <c r="G1012" s="13" t="n">
        <f aca="false">B1012-C1012</f>
        <v>9186.1657864989</v>
      </c>
      <c r="H1012" s="16" t="n">
        <f aca="false">G1012/B1012</f>
        <v>0.116484656358162</v>
      </c>
      <c r="I1012" s="15" t="n">
        <f aca="false">G1012/D1012</f>
        <v>4.69880602889969</v>
      </c>
      <c r="J1012" s="16" t="n">
        <f aca="false">I1012/E1012</f>
        <v>0.116484656358162</v>
      </c>
      <c r="K1012" s="17" t="str">
        <f aca="false">TEXT(A1012,"dddd")</f>
        <v>Wednesday</v>
      </c>
      <c r="L1012" s="17" t="str">
        <f aca="false">IF(AND(A1012&gt;=DATE(2014,9,24),A1012&lt;=DATE(2014,10,6)),"Promo 1",IF(AND(A1012&gt;=DATE(2014,9,10),A1012&lt;=DATE(2014,9,23)),"Baseline 1",IF(AND(A1012&gt;=DATE(2015,9,23),A1012&lt;=DATE(2015,10,6)),"Promo 2",IF(AND(A1012&gt;=DATE(2015,9,9),A1012&lt;=DATE(2015,9,22)),"Baseline 2",IF(AND(A1012&gt;=DATE(2016,6,23),A1012&lt;=DATE(2016,7,6)),"Promo 3",IF(AND(A1012&gt;=DATE(2016,6,9),A1012&lt;=DATE(2016,6,22)),"Baseline 3","Other"))))))</f>
        <v>Other</v>
      </c>
    </row>
    <row r="1013" customFormat="false" ht="15" hidden="false" customHeight="true" outlineLevel="0" collapsed="false">
      <c r="A1013" s="12" t="n">
        <v>42649</v>
      </c>
      <c r="B1013" s="13" t="n">
        <v>70279.4743928696</v>
      </c>
      <c r="C1013" s="13" t="n">
        <v>61976.3057914763</v>
      </c>
      <c r="D1013" s="14" t="n">
        <v>1740</v>
      </c>
      <c r="E1013" s="15" t="n">
        <f aca="false">B1013/D1013</f>
        <v>40.3905025246377</v>
      </c>
      <c r="F1013" s="15" t="n">
        <f aca="false">C1013/D1013</f>
        <v>35.6185665468255</v>
      </c>
      <c r="G1013" s="13" t="n">
        <f aca="false">B1013-C1013</f>
        <v>8303.1686013933</v>
      </c>
      <c r="H1013" s="16" t="n">
        <f aca="false">G1013/B1013</f>
        <v>0.118145001412186</v>
      </c>
      <c r="I1013" s="15" t="n">
        <f aca="false">G1013/D1013</f>
        <v>4.77193597781224</v>
      </c>
      <c r="J1013" s="16" t="n">
        <f aca="false">I1013/E1013</f>
        <v>0.118145001412186</v>
      </c>
      <c r="K1013" s="17" t="str">
        <f aca="false">TEXT(A1013,"dddd")</f>
        <v>Thursday</v>
      </c>
      <c r="L1013" s="17" t="str">
        <f aca="false">IF(AND(A1013&gt;=DATE(2014,9,24),A1013&lt;=DATE(2014,10,6)),"Promo 1",IF(AND(A1013&gt;=DATE(2014,9,10),A1013&lt;=DATE(2014,9,23)),"Baseline 1",IF(AND(A1013&gt;=DATE(2015,9,23),A1013&lt;=DATE(2015,10,6)),"Promo 2",IF(AND(A1013&gt;=DATE(2015,9,9),A1013&lt;=DATE(2015,9,22)),"Baseline 2",IF(AND(A1013&gt;=DATE(2016,6,23),A1013&lt;=DATE(2016,7,6)),"Promo 3",IF(AND(A1013&gt;=DATE(2016,6,9),A1013&lt;=DATE(2016,6,22)),"Baseline 3","Other"))))))</f>
        <v>Other</v>
      </c>
    </row>
    <row r="1014" customFormat="false" ht="15" hidden="false" customHeight="true" outlineLevel="0" collapsed="false">
      <c r="A1014" s="12" t="n">
        <v>42650</v>
      </c>
      <c r="B1014" s="13" t="n">
        <v>87748.8628912136</v>
      </c>
      <c r="C1014" s="13" t="n">
        <v>77446.6094358004</v>
      </c>
      <c r="D1014" s="14" t="n">
        <v>2176</v>
      </c>
      <c r="E1014" s="15" t="n">
        <f aca="false">B1014/D1014</f>
        <v>40.3257641963298</v>
      </c>
      <c r="F1014" s="15" t="n">
        <f aca="false">C1014/D1014</f>
        <v>35.5912727186583</v>
      </c>
      <c r="G1014" s="13" t="n">
        <f aca="false">B1014-C1014</f>
        <v>10302.2534554132</v>
      </c>
      <c r="H1014" s="16" t="n">
        <f aca="false">G1014/B1014</f>
        <v>0.117406119190233</v>
      </c>
      <c r="I1014" s="15" t="n">
        <f aca="false">G1014/D1014</f>
        <v>4.73449147767151</v>
      </c>
      <c r="J1014" s="16" t="n">
        <f aca="false">I1014/E1014</f>
        <v>0.117406119190233</v>
      </c>
      <c r="K1014" s="17" t="str">
        <f aca="false">TEXT(A1014,"dddd")</f>
        <v>Friday</v>
      </c>
      <c r="L1014" s="17" t="str">
        <f aca="false">IF(AND(A1014&gt;=DATE(2014,9,24),A1014&lt;=DATE(2014,10,6)),"Promo 1",IF(AND(A1014&gt;=DATE(2014,9,10),A1014&lt;=DATE(2014,9,23)),"Baseline 1",IF(AND(A1014&gt;=DATE(2015,9,23),A1014&lt;=DATE(2015,10,6)),"Promo 2",IF(AND(A1014&gt;=DATE(2015,9,9),A1014&lt;=DATE(2015,9,22)),"Baseline 2",IF(AND(A1014&gt;=DATE(2016,6,23),A1014&lt;=DATE(2016,7,6)),"Promo 3",IF(AND(A1014&gt;=DATE(2016,6,9),A1014&lt;=DATE(2016,6,22)),"Baseline 3","Other"))))))</f>
        <v>Other</v>
      </c>
    </row>
    <row r="1015" customFormat="false" ht="15" hidden="false" customHeight="true" outlineLevel="0" collapsed="false">
      <c r="A1015" s="12" t="n">
        <v>42651</v>
      </c>
      <c r="B1015" s="13" t="n">
        <v>92053.3257699732</v>
      </c>
      <c r="C1015" s="13" t="n">
        <v>81209.2483470106</v>
      </c>
      <c r="D1015" s="14" t="n">
        <v>2283</v>
      </c>
      <c r="E1015" s="15" t="n">
        <f aca="false">B1015/D1015</f>
        <v>40.3212114629756</v>
      </c>
      <c r="F1015" s="15" t="n">
        <f aca="false">C1015/D1015</f>
        <v>35.5712870551952</v>
      </c>
      <c r="G1015" s="13" t="n">
        <f aca="false">B1015-C1015</f>
        <v>10844.0774229626</v>
      </c>
      <c r="H1015" s="16" t="n">
        <f aca="false">G1015/B1015</f>
        <v>0.117802125368727</v>
      </c>
      <c r="I1015" s="15" t="n">
        <f aca="false">G1015/D1015</f>
        <v>4.74992440778038</v>
      </c>
      <c r="J1015" s="16" t="n">
        <f aca="false">I1015/E1015</f>
        <v>0.117802125368727</v>
      </c>
      <c r="K1015" s="17" t="str">
        <f aca="false">TEXT(A1015,"dddd")</f>
        <v>Saturday</v>
      </c>
      <c r="L1015" s="17" t="str">
        <f aca="false">IF(AND(A1015&gt;=DATE(2014,9,24),A1015&lt;=DATE(2014,10,6)),"Promo 1",IF(AND(A1015&gt;=DATE(2014,9,10),A1015&lt;=DATE(2014,9,23)),"Baseline 1",IF(AND(A1015&gt;=DATE(2015,9,23),A1015&lt;=DATE(2015,10,6)),"Promo 2",IF(AND(A1015&gt;=DATE(2015,9,9),A1015&lt;=DATE(2015,9,22)),"Baseline 2",IF(AND(A1015&gt;=DATE(2016,6,23),A1015&lt;=DATE(2016,7,6)),"Promo 3",IF(AND(A1015&gt;=DATE(2016,6,9),A1015&lt;=DATE(2016,6,22)),"Baseline 3","Other"))))))</f>
        <v>Other</v>
      </c>
    </row>
    <row r="1016" customFormat="false" ht="15" hidden="false" customHeight="true" outlineLevel="0" collapsed="false">
      <c r="A1016" s="12" t="n">
        <v>42652</v>
      </c>
      <c r="B1016" s="13" t="n">
        <v>51751.38324691</v>
      </c>
      <c r="C1016" s="13" t="n">
        <v>45607.2340996974</v>
      </c>
      <c r="D1016" s="14" t="n">
        <v>1284</v>
      </c>
      <c r="E1016" s="15" t="n">
        <f aca="false">B1016/D1016</f>
        <v>40.3048156128583</v>
      </c>
      <c r="F1016" s="15" t="n">
        <f aca="false">C1016/D1016</f>
        <v>35.519652725621</v>
      </c>
      <c r="G1016" s="13" t="n">
        <f aca="false">B1016-C1016</f>
        <v>6144.1491472126</v>
      </c>
      <c r="H1016" s="16" t="n">
        <f aca="false">G1016/B1016</f>
        <v>0.118724346321303</v>
      </c>
      <c r="I1016" s="15" t="n">
        <f aca="false">G1016/D1016</f>
        <v>4.78516288723723</v>
      </c>
      <c r="J1016" s="16" t="n">
        <f aca="false">I1016/E1016</f>
        <v>0.118724346321303</v>
      </c>
      <c r="K1016" s="17" t="str">
        <f aca="false">TEXT(A1016,"dddd")</f>
        <v>Sunday</v>
      </c>
      <c r="L1016" s="17" t="str">
        <f aca="false">IF(AND(A1016&gt;=DATE(2014,9,24),A1016&lt;=DATE(2014,10,6)),"Promo 1",IF(AND(A1016&gt;=DATE(2014,9,10),A1016&lt;=DATE(2014,9,23)),"Baseline 1",IF(AND(A1016&gt;=DATE(2015,9,23),A1016&lt;=DATE(2015,10,6)),"Promo 2",IF(AND(A1016&gt;=DATE(2015,9,9),A1016&lt;=DATE(2015,9,22)),"Baseline 2",IF(AND(A1016&gt;=DATE(2016,6,23),A1016&lt;=DATE(2016,7,6)),"Promo 3",IF(AND(A1016&gt;=DATE(2016,6,9),A1016&lt;=DATE(2016,6,22)),"Baseline 3","Other"))))))</f>
        <v>Other</v>
      </c>
    </row>
    <row r="1017" customFormat="false" ht="15" hidden="false" customHeight="true" outlineLevel="0" collapsed="false">
      <c r="A1017" s="12" t="n">
        <v>42653</v>
      </c>
      <c r="B1017" s="13" t="n">
        <v>50934.9831938551</v>
      </c>
      <c r="C1017" s="13" t="n">
        <v>44983.777302442</v>
      </c>
      <c r="D1017" s="14" t="n">
        <v>1263</v>
      </c>
      <c r="E1017" s="15" t="n">
        <f aca="false">B1017/D1017</f>
        <v>40.3285694329811</v>
      </c>
      <c r="F1017" s="15" t="n">
        <f aca="false">C1017/D1017</f>
        <v>35.6166091072383</v>
      </c>
      <c r="G1017" s="13" t="n">
        <f aca="false">B1017-C1017</f>
        <v>5951.2058914131</v>
      </c>
      <c r="H1017" s="16" t="n">
        <f aca="false">G1017/B1017</f>
        <v>0.11683926288467</v>
      </c>
      <c r="I1017" s="15" t="n">
        <f aca="false">G1017/D1017</f>
        <v>4.71196032574275</v>
      </c>
      <c r="J1017" s="16" t="n">
        <f aca="false">I1017/E1017</f>
        <v>0.11683926288467</v>
      </c>
      <c r="K1017" s="17" t="str">
        <f aca="false">TEXT(A1017,"dddd")</f>
        <v>Monday</v>
      </c>
      <c r="L1017" s="17" t="str">
        <f aca="false">IF(AND(A1017&gt;=DATE(2014,9,24),A1017&lt;=DATE(2014,10,6)),"Promo 1",IF(AND(A1017&gt;=DATE(2014,9,10),A1017&lt;=DATE(2014,9,23)),"Baseline 1",IF(AND(A1017&gt;=DATE(2015,9,23),A1017&lt;=DATE(2015,10,6)),"Promo 2",IF(AND(A1017&gt;=DATE(2015,9,9),A1017&lt;=DATE(2015,9,22)),"Baseline 2",IF(AND(A1017&gt;=DATE(2016,6,23),A1017&lt;=DATE(2016,7,6)),"Promo 3",IF(AND(A1017&gt;=DATE(2016,6,9),A1017&lt;=DATE(2016,6,22)),"Baseline 3","Other"))))))</f>
        <v>Other</v>
      </c>
    </row>
    <row r="1018" customFormat="false" ht="15" hidden="false" customHeight="true" outlineLevel="0" collapsed="false">
      <c r="A1018" s="12" t="n">
        <v>42654</v>
      </c>
      <c r="B1018" s="13" t="n">
        <v>36113.9348726702</v>
      </c>
      <c r="C1018" s="13" t="n">
        <v>31885.2884503308</v>
      </c>
      <c r="D1018" s="14" t="n">
        <v>896</v>
      </c>
      <c r="E1018" s="15" t="n">
        <f aca="false">B1018/D1018</f>
        <v>40.3057308846766</v>
      </c>
      <c r="F1018" s="15" t="n">
        <f aca="false">C1018/D1018</f>
        <v>35.5862594311728</v>
      </c>
      <c r="G1018" s="13" t="n">
        <f aca="false">B1018-C1018</f>
        <v>4228.6464223394</v>
      </c>
      <c r="H1018" s="16" t="n">
        <f aca="false">G1018/B1018</f>
        <v>0.117091821681816</v>
      </c>
      <c r="I1018" s="15" t="n">
        <f aca="false">G1018/D1018</f>
        <v>4.71947145350379</v>
      </c>
      <c r="J1018" s="16" t="n">
        <f aca="false">I1018/E1018</f>
        <v>0.117091821681816</v>
      </c>
      <c r="K1018" s="17" t="str">
        <f aca="false">TEXT(A1018,"dddd")</f>
        <v>Tuesday</v>
      </c>
      <c r="L1018" s="17" t="str">
        <f aca="false">IF(AND(A1018&gt;=DATE(2014,9,24),A1018&lt;=DATE(2014,10,6)),"Promo 1",IF(AND(A1018&gt;=DATE(2014,9,10),A1018&lt;=DATE(2014,9,23)),"Baseline 1",IF(AND(A1018&gt;=DATE(2015,9,23),A1018&lt;=DATE(2015,10,6)),"Promo 2",IF(AND(A1018&gt;=DATE(2015,9,9),A1018&lt;=DATE(2015,9,22)),"Baseline 2",IF(AND(A1018&gt;=DATE(2016,6,23),A1018&lt;=DATE(2016,7,6)),"Promo 3",IF(AND(A1018&gt;=DATE(2016,6,9),A1018&lt;=DATE(2016,6,22)),"Baseline 3","Other"))))))</f>
        <v>Other</v>
      </c>
    </row>
    <row r="1019" customFormat="false" ht="15" hidden="false" customHeight="true" outlineLevel="0" collapsed="false">
      <c r="A1019" s="12" t="n">
        <v>42655</v>
      </c>
      <c r="B1019" s="13" t="n">
        <v>31023.3597651751</v>
      </c>
      <c r="C1019" s="13" t="n">
        <v>27817.6424664107</v>
      </c>
      <c r="D1019" s="14" t="n">
        <v>768</v>
      </c>
      <c r="E1019" s="15" t="n">
        <f aca="false">B1019/D1019</f>
        <v>40.3949996942384</v>
      </c>
      <c r="F1019" s="15" t="n">
        <f aca="false">C1019/D1019</f>
        <v>36.2208886281389</v>
      </c>
      <c r="G1019" s="13" t="n">
        <f aca="false">B1019-C1019</f>
        <v>3205.7172987644</v>
      </c>
      <c r="H1019" s="16" t="n">
        <f aca="false">G1019/B1019</f>
        <v>0.103332370285792</v>
      </c>
      <c r="I1019" s="15" t="n">
        <f aca="false">G1019/D1019</f>
        <v>4.17411106609948</v>
      </c>
      <c r="J1019" s="16" t="n">
        <f aca="false">I1019/E1019</f>
        <v>0.103332370285792</v>
      </c>
      <c r="K1019" s="17" t="str">
        <f aca="false">TEXT(A1019,"dddd")</f>
        <v>Wednesday</v>
      </c>
      <c r="L1019" s="17" t="str">
        <f aca="false">IF(AND(A1019&gt;=DATE(2014,9,24),A1019&lt;=DATE(2014,10,6)),"Promo 1",IF(AND(A1019&gt;=DATE(2014,9,10),A1019&lt;=DATE(2014,9,23)),"Baseline 1",IF(AND(A1019&gt;=DATE(2015,9,23),A1019&lt;=DATE(2015,10,6)),"Promo 2",IF(AND(A1019&gt;=DATE(2015,9,9),A1019&lt;=DATE(2015,9,22)),"Baseline 2",IF(AND(A1019&gt;=DATE(2016,6,23),A1019&lt;=DATE(2016,7,6)),"Promo 3",IF(AND(A1019&gt;=DATE(2016,6,9),A1019&lt;=DATE(2016,6,22)),"Baseline 3","Other"))))))</f>
        <v>Other</v>
      </c>
    </row>
    <row r="1020" customFormat="false" ht="15" hidden="false" customHeight="true" outlineLevel="0" collapsed="false">
      <c r="A1020" s="12" t="n">
        <v>42656</v>
      </c>
      <c r="B1020" s="13" t="n">
        <v>22334.21253066</v>
      </c>
      <c r="C1020" s="13" t="n">
        <v>19704.0931507365</v>
      </c>
      <c r="D1020" s="14" t="n">
        <v>521</v>
      </c>
      <c r="E1020" s="15" t="n">
        <f aca="false">B1020/D1020</f>
        <v>42.8679703083685</v>
      </c>
      <c r="F1020" s="15" t="n">
        <f aca="false">C1020/D1020</f>
        <v>37.8197565273253</v>
      </c>
      <c r="G1020" s="13" t="n">
        <f aca="false">B1020-C1020</f>
        <v>2630.1193799235</v>
      </c>
      <c r="H1020" s="16" t="n">
        <f aca="false">G1020/B1020</f>
        <v>0.117761903461468</v>
      </c>
      <c r="I1020" s="15" t="n">
        <f aca="false">G1020/D1020</f>
        <v>5.04821378104319</v>
      </c>
      <c r="J1020" s="16" t="n">
        <f aca="false">I1020/E1020</f>
        <v>0.117761903461468</v>
      </c>
      <c r="K1020" s="17" t="str">
        <f aca="false">TEXT(A1020,"dddd")</f>
        <v>Thursday</v>
      </c>
      <c r="L1020" s="17" t="str">
        <f aca="false">IF(AND(A1020&gt;=DATE(2014,9,24),A1020&lt;=DATE(2014,10,6)),"Promo 1",IF(AND(A1020&gt;=DATE(2014,9,10),A1020&lt;=DATE(2014,9,23)),"Baseline 1",IF(AND(A1020&gt;=DATE(2015,9,23),A1020&lt;=DATE(2015,10,6)),"Promo 2",IF(AND(A1020&gt;=DATE(2015,9,9),A1020&lt;=DATE(2015,9,22)),"Baseline 2",IF(AND(A1020&gt;=DATE(2016,6,23),A1020&lt;=DATE(2016,7,6)),"Promo 3",IF(AND(A1020&gt;=DATE(2016,6,9),A1020&lt;=DATE(2016,6,22)),"Baseline 3","Other"))))))</f>
        <v>Other</v>
      </c>
    </row>
    <row r="1021" customFormat="false" ht="15" hidden="false" customHeight="true" outlineLevel="0" collapsed="false">
      <c r="A1021" s="12" t="n">
        <v>42657</v>
      </c>
      <c r="B1021" s="13" t="n">
        <v>69440.9287951903</v>
      </c>
      <c r="C1021" s="13" t="n">
        <v>62070.7511843</v>
      </c>
      <c r="D1021" s="14" t="n">
        <v>1618</v>
      </c>
      <c r="E1021" s="15" t="n">
        <f aca="false">B1021/D1021</f>
        <v>42.9177557448642</v>
      </c>
      <c r="F1021" s="15" t="n">
        <f aca="false">C1021/D1021</f>
        <v>38.3626397925216</v>
      </c>
      <c r="G1021" s="13" t="n">
        <f aca="false">B1021-C1021</f>
        <v>7370.17761089029</v>
      </c>
      <c r="H1021" s="16" t="n">
        <f aca="false">G1021/B1021</f>
        <v>0.106135930765384</v>
      </c>
      <c r="I1021" s="15" t="n">
        <f aca="false">G1021/D1021</f>
        <v>4.55511595234258</v>
      </c>
      <c r="J1021" s="16" t="n">
        <f aca="false">I1021/E1021</f>
        <v>0.106135930765384</v>
      </c>
      <c r="K1021" s="17" t="str">
        <f aca="false">TEXT(A1021,"dddd")</f>
        <v>Friday</v>
      </c>
      <c r="L1021" s="17" t="str">
        <f aca="false">IF(AND(A1021&gt;=DATE(2014,9,24),A1021&lt;=DATE(2014,10,6)),"Promo 1",IF(AND(A1021&gt;=DATE(2014,9,10),A1021&lt;=DATE(2014,9,23)),"Baseline 1",IF(AND(A1021&gt;=DATE(2015,9,23),A1021&lt;=DATE(2015,10,6)),"Promo 2",IF(AND(A1021&gt;=DATE(2015,9,9),A1021&lt;=DATE(2015,9,22)),"Baseline 2",IF(AND(A1021&gt;=DATE(2016,6,23),A1021&lt;=DATE(2016,7,6)),"Promo 3",IF(AND(A1021&gt;=DATE(2016,6,9),A1021&lt;=DATE(2016,6,22)),"Baseline 3","Other"))))))</f>
        <v>Other</v>
      </c>
    </row>
    <row r="1022" customFormat="false" ht="15" hidden="false" customHeight="true" outlineLevel="0" collapsed="false">
      <c r="A1022" s="12" t="n">
        <v>42658</v>
      </c>
      <c r="B1022" s="13" t="n">
        <v>92159.0297914716</v>
      </c>
      <c r="C1022" s="13" t="n">
        <v>83371.8170213501</v>
      </c>
      <c r="D1022" s="14" t="n">
        <v>2147</v>
      </c>
      <c r="E1022" s="15" t="n">
        <f aca="false">B1022/D1022</f>
        <v>42.9245597538294</v>
      </c>
      <c r="F1022" s="15" t="n">
        <f aca="false">C1022/D1022</f>
        <v>38.8317731818119</v>
      </c>
      <c r="G1022" s="13" t="n">
        <f aca="false">B1022-C1022</f>
        <v>8787.21277012151</v>
      </c>
      <c r="H1022" s="16" t="n">
        <f aca="false">G1022/B1022</f>
        <v>0.0953483645607419</v>
      </c>
      <c r="I1022" s="15" t="n">
        <f aca="false">G1022/D1022</f>
        <v>4.09278657201747</v>
      </c>
      <c r="J1022" s="16" t="n">
        <f aca="false">I1022/E1022</f>
        <v>0.0953483645607419</v>
      </c>
      <c r="K1022" s="17" t="str">
        <f aca="false">TEXT(A1022,"dddd")</f>
        <v>Saturday</v>
      </c>
      <c r="L1022" s="17" t="str">
        <f aca="false">IF(AND(A1022&gt;=DATE(2014,9,24),A1022&lt;=DATE(2014,10,6)),"Promo 1",IF(AND(A1022&gt;=DATE(2014,9,10),A1022&lt;=DATE(2014,9,23)),"Baseline 1",IF(AND(A1022&gt;=DATE(2015,9,23),A1022&lt;=DATE(2015,10,6)),"Promo 2",IF(AND(A1022&gt;=DATE(2015,9,9),A1022&lt;=DATE(2015,9,22)),"Baseline 2",IF(AND(A1022&gt;=DATE(2016,6,23),A1022&lt;=DATE(2016,7,6)),"Promo 3",IF(AND(A1022&gt;=DATE(2016,6,9),A1022&lt;=DATE(2016,6,22)),"Baseline 3","Other"))))))</f>
        <v>Other</v>
      </c>
    </row>
    <row r="1023" customFormat="false" ht="15" hidden="false" customHeight="true" outlineLevel="0" collapsed="false">
      <c r="A1023" s="12" t="n">
        <v>42659</v>
      </c>
      <c r="B1023" s="13" t="n">
        <v>57296.2878537502</v>
      </c>
      <c r="C1023" s="13" t="n">
        <v>52701.2946138124</v>
      </c>
      <c r="D1023" s="14" t="n">
        <v>1335</v>
      </c>
      <c r="E1023" s="15" t="n">
        <f aca="false">B1023/D1023</f>
        <v>42.9185676807118</v>
      </c>
      <c r="F1023" s="15" t="n">
        <f aca="false">C1023/D1023</f>
        <v>39.4766251788857</v>
      </c>
      <c r="G1023" s="13" t="n">
        <f aca="false">B1023-C1023</f>
        <v>4594.99323993779</v>
      </c>
      <c r="H1023" s="16" t="n">
        <f aca="false">G1023/B1023</f>
        <v>0.080197049618059</v>
      </c>
      <c r="I1023" s="15" t="n">
        <f aca="false">G1023/D1023</f>
        <v>3.44194250182606</v>
      </c>
      <c r="J1023" s="16" t="n">
        <f aca="false">I1023/E1023</f>
        <v>0.080197049618059</v>
      </c>
      <c r="K1023" s="17" t="str">
        <f aca="false">TEXT(A1023,"dddd")</f>
        <v>Sunday</v>
      </c>
      <c r="L1023" s="17" t="str">
        <f aca="false">IF(AND(A1023&gt;=DATE(2014,9,24),A1023&lt;=DATE(2014,10,6)),"Promo 1",IF(AND(A1023&gt;=DATE(2014,9,10),A1023&lt;=DATE(2014,9,23)),"Baseline 1",IF(AND(A1023&gt;=DATE(2015,9,23),A1023&lt;=DATE(2015,10,6)),"Promo 2",IF(AND(A1023&gt;=DATE(2015,9,9),A1023&lt;=DATE(2015,9,22)),"Baseline 2",IF(AND(A1023&gt;=DATE(2016,6,23),A1023&lt;=DATE(2016,7,6)),"Promo 3",IF(AND(A1023&gt;=DATE(2016,6,9),A1023&lt;=DATE(2016,6,22)),"Baseline 3","Other"))))))</f>
        <v>Other</v>
      </c>
    </row>
    <row r="1024" customFormat="false" ht="15" hidden="false" customHeight="true" outlineLevel="0" collapsed="false">
      <c r="A1024" s="12" t="n">
        <v>42660</v>
      </c>
      <c r="B1024" s="13" t="n">
        <v>57184.9412688303</v>
      </c>
      <c r="C1024" s="13" t="n">
        <v>51764.9373717728</v>
      </c>
      <c r="D1024" s="14" t="n">
        <v>1332</v>
      </c>
      <c r="E1024" s="15" t="n">
        <f aca="false">B1024/D1024</f>
        <v>42.9316375892119</v>
      </c>
      <c r="F1024" s="15" t="n">
        <f aca="false">C1024/D1024</f>
        <v>38.862565594424</v>
      </c>
      <c r="G1024" s="13" t="n">
        <f aca="false">B1024-C1024</f>
        <v>5420.0038970575</v>
      </c>
      <c r="H1024" s="16" t="n">
        <f aca="false">G1024/B1024</f>
        <v>0.0947802651676722</v>
      </c>
      <c r="I1024" s="15" t="n">
        <f aca="false">G1024/D1024</f>
        <v>4.06907199478791</v>
      </c>
      <c r="J1024" s="16" t="n">
        <f aca="false">I1024/E1024</f>
        <v>0.0947802651676722</v>
      </c>
      <c r="K1024" s="17" t="str">
        <f aca="false">TEXT(A1024,"dddd")</f>
        <v>Monday</v>
      </c>
      <c r="L1024" s="17" t="str">
        <f aca="false">IF(AND(A1024&gt;=DATE(2014,9,24),A1024&lt;=DATE(2014,10,6)),"Promo 1",IF(AND(A1024&gt;=DATE(2014,9,10),A1024&lt;=DATE(2014,9,23)),"Baseline 1",IF(AND(A1024&gt;=DATE(2015,9,23),A1024&lt;=DATE(2015,10,6)),"Promo 2",IF(AND(A1024&gt;=DATE(2015,9,9),A1024&lt;=DATE(2015,9,22)),"Baseline 2",IF(AND(A1024&gt;=DATE(2016,6,23),A1024&lt;=DATE(2016,7,6)),"Promo 3",IF(AND(A1024&gt;=DATE(2016,6,9),A1024&lt;=DATE(2016,6,22)),"Baseline 3","Other"))))))</f>
        <v>Other</v>
      </c>
    </row>
    <row r="1025" customFormat="false" ht="15" hidden="false" customHeight="true" outlineLevel="0" collapsed="false">
      <c r="A1025" s="12" t="n">
        <v>42661</v>
      </c>
      <c r="B1025" s="13" t="n">
        <v>40951.1042769296</v>
      </c>
      <c r="C1025" s="13" t="n">
        <v>37288.6245452787</v>
      </c>
      <c r="D1025" s="14" t="n">
        <v>954</v>
      </c>
      <c r="E1025" s="15" t="n">
        <f aca="false">B1025/D1025</f>
        <v>42.9256858248738</v>
      </c>
      <c r="F1025" s="15" t="n">
        <f aca="false">C1025/D1025</f>
        <v>39.086608538028</v>
      </c>
      <c r="G1025" s="13" t="n">
        <f aca="false">B1025-C1025</f>
        <v>3662.4797316509</v>
      </c>
      <c r="H1025" s="16" t="n">
        <f aca="false">G1025/B1025</f>
        <v>0.0894354327268828</v>
      </c>
      <c r="I1025" s="15" t="n">
        <f aca="false">G1025/D1025</f>
        <v>3.83907728684581</v>
      </c>
      <c r="J1025" s="16" t="n">
        <f aca="false">I1025/E1025</f>
        <v>0.0894354327268828</v>
      </c>
      <c r="K1025" s="17" t="str">
        <f aca="false">TEXT(A1025,"dddd")</f>
        <v>Tuesday</v>
      </c>
      <c r="L1025" s="17" t="str">
        <f aca="false">IF(AND(A1025&gt;=DATE(2014,9,24),A1025&lt;=DATE(2014,10,6)),"Promo 1",IF(AND(A1025&gt;=DATE(2014,9,10),A1025&lt;=DATE(2014,9,23)),"Baseline 1",IF(AND(A1025&gt;=DATE(2015,9,23),A1025&lt;=DATE(2015,10,6)),"Promo 2",IF(AND(A1025&gt;=DATE(2015,9,9),A1025&lt;=DATE(2015,9,22)),"Baseline 2",IF(AND(A1025&gt;=DATE(2016,6,23),A1025&lt;=DATE(2016,7,6)),"Promo 3",IF(AND(A1025&gt;=DATE(2016,6,9),A1025&lt;=DATE(2016,6,22)),"Baseline 3","Other"))))))</f>
        <v>Other</v>
      </c>
    </row>
    <row r="1026" customFormat="false" ht="15" hidden="false" customHeight="true" outlineLevel="0" collapsed="false">
      <c r="A1026" s="12" t="n">
        <v>42662</v>
      </c>
      <c r="B1026" s="13" t="n">
        <v>37672.4472942898</v>
      </c>
      <c r="C1026" s="13" t="n">
        <v>33678.4592712881</v>
      </c>
      <c r="D1026" s="14" t="n">
        <v>877</v>
      </c>
      <c r="E1026" s="15" t="n">
        <f aca="false">B1026/D1026</f>
        <v>42.9560402443441</v>
      </c>
      <c r="F1026" s="15" t="n">
        <f aca="false">C1026/D1026</f>
        <v>38.4018919855052</v>
      </c>
      <c r="G1026" s="13" t="n">
        <f aca="false">B1026-C1026</f>
        <v>3993.9880230017</v>
      </c>
      <c r="H1026" s="16" t="n">
        <f aca="false">G1026/B1026</f>
        <v>0.106018809763046</v>
      </c>
      <c r="I1026" s="15" t="n">
        <f aca="false">G1026/D1026</f>
        <v>4.55414825883888</v>
      </c>
      <c r="J1026" s="16" t="n">
        <f aca="false">I1026/E1026</f>
        <v>0.106018809763046</v>
      </c>
      <c r="K1026" s="17" t="str">
        <f aca="false">TEXT(A1026,"dddd")</f>
        <v>Wednesday</v>
      </c>
      <c r="L1026" s="17" t="str">
        <f aca="false">IF(AND(A1026&gt;=DATE(2014,9,24),A1026&lt;=DATE(2014,10,6)),"Promo 1",IF(AND(A1026&gt;=DATE(2014,9,10),A1026&lt;=DATE(2014,9,23)),"Baseline 1",IF(AND(A1026&gt;=DATE(2015,9,23),A1026&lt;=DATE(2015,10,6)),"Promo 2",IF(AND(A1026&gt;=DATE(2015,9,9),A1026&lt;=DATE(2015,9,22)),"Baseline 2",IF(AND(A1026&gt;=DATE(2016,6,23),A1026&lt;=DATE(2016,7,6)),"Promo 3",IF(AND(A1026&gt;=DATE(2016,6,9),A1026&lt;=DATE(2016,6,22)),"Baseline 3","Other"))))))</f>
        <v>Other</v>
      </c>
    </row>
    <row r="1027" customFormat="false" ht="15" hidden="false" customHeight="true" outlineLevel="0" collapsed="false">
      <c r="A1027" s="12" t="n">
        <v>42663</v>
      </c>
      <c r="B1027" s="13" t="n">
        <v>38648.1375195596</v>
      </c>
      <c r="C1027" s="13" t="n">
        <v>35038.0686916293</v>
      </c>
      <c r="D1027" s="14" t="n">
        <v>906</v>
      </c>
      <c r="E1027" s="15" t="n">
        <f aca="false">B1027/D1027</f>
        <v>42.657988432185</v>
      </c>
      <c r="F1027" s="15" t="n">
        <f aca="false">C1027/D1027</f>
        <v>38.6733650017983</v>
      </c>
      <c r="G1027" s="13" t="n">
        <f aca="false">B1027-C1027</f>
        <v>3610.0688279303</v>
      </c>
      <c r="H1027" s="16" t="n">
        <f aca="false">G1027/B1027</f>
        <v>0.0934086105987194</v>
      </c>
      <c r="I1027" s="15" t="n">
        <f aca="false">G1027/D1027</f>
        <v>3.98462343038664</v>
      </c>
      <c r="J1027" s="16" t="n">
        <f aca="false">I1027/E1027</f>
        <v>0.0934086105987194</v>
      </c>
      <c r="K1027" s="17" t="str">
        <f aca="false">TEXT(A1027,"dddd")</f>
        <v>Thursday</v>
      </c>
      <c r="L1027" s="17" t="str">
        <f aca="false">IF(AND(A1027&gt;=DATE(2014,9,24),A1027&lt;=DATE(2014,10,6)),"Promo 1",IF(AND(A1027&gt;=DATE(2014,9,10),A1027&lt;=DATE(2014,9,23)),"Baseline 1",IF(AND(A1027&gt;=DATE(2015,9,23),A1027&lt;=DATE(2015,10,6)),"Promo 2",IF(AND(A1027&gt;=DATE(2015,9,9),A1027&lt;=DATE(2015,9,22)),"Baseline 2",IF(AND(A1027&gt;=DATE(2016,6,23),A1027&lt;=DATE(2016,7,6)),"Promo 3",IF(AND(A1027&gt;=DATE(2016,6,9),A1027&lt;=DATE(2016,6,22)),"Baseline 3","Other"))))))</f>
        <v>Other</v>
      </c>
    </row>
    <row r="1028" customFormat="false" ht="15" hidden="false" customHeight="true" outlineLevel="0" collapsed="false">
      <c r="A1028" s="12" t="n">
        <v>42664</v>
      </c>
      <c r="B1028" s="13" t="n">
        <v>96020.5453740968</v>
      </c>
      <c r="C1028" s="13" t="n">
        <v>86810.2775334347</v>
      </c>
      <c r="D1028" s="14" t="n">
        <v>2249</v>
      </c>
      <c r="E1028" s="15" t="n">
        <f aca="false">B1028/D1028</f>
        <v>42.694773398887</v>
      </c>
      <c r="F1028" s="15" t="n">
        <f aca="false">C1028/D1028</f>
        <v>38.5995009041506</v>
      </c>
      <c r="G1028" s="13" t="n">
        <f aca="false">B1028-C1028</f>
        <v>9210.2678406621</v>
      </c>
      <c r="H1028" s="16" t="n">
        <f aca="false">G1028/B1028</f>
        <v>0.0959197618049223</v>
      </c>
      <c r="I1028" s="15" t="n">
        <f aca="false">G1028/D1028</f>
        <v>4.09527249473637</v>
      </c>
      <c r="J1028" s="16" t="n">
        <f aca="false">I1028/E1028</f>
        <v>0.0959197618049223</v>
      </c>
      <c r="K1028" s="17" t="str">
        <f aca="false">TEXT(A1028,"dddd")</f>
        <v>Friday</v>
      </c>
      <c r="L1028" s="17" t="str">
        <f aca="false">IF(AND(A1028&gt;=DATE(2014,9,24),A1028&lt;=DATE(2014,10,6)),"Promo 1",IF(AND(A1028&gt;=DATE(2014,9,10),A1028&lt;=DATE(2014,9,23)),"Baseline 1",IF(AND(A1028&gt;=DATE(2015,9,23),A1028&lt;=DATE(2015,10,6)),"Promo 2",IF(AND(A1028&gt;=DATE(2015,9,9),A1028&lt;=DATE(2015,9,22)),"Baseline 2",IF(AND(A1028&gt;=DATE(2016,6,23),A1028&lt;=DATE(2016,7,6)),"Promo 3",IF(AND(A1028&gt;=DATE(2016,6,9),A1028&lt;=DATE(2016,6,22)),"Baseline 3","Other"))))))</f>
        <v>Other</v>
      </c>
    </row>
    <row r="1029" customFormat="false" ht="15" hidden="false" customHeight="true" outlineLevel="0" collapsed="false">
      <c r="A1029" s="12" t="n">
        <v>42665</v>
      </c>
      <c r="B1029" s="13" t="n">
        <v>105662.594158373</v>
      </c>
      <c r="C1029" s="13" t="n">
        <v>95930.0165146894</v>
      </c>
      <c r="D1029" s="14" t="n">
        <v>2472</v>
      </c>
      <c r="E1029" s="15" t="n">
        <f aca="false">B1029/D1029</f>
        <v>42.7437678634195</v>
      </c>
      <c r="F1029" s="15" t="n">
        <f aca="false">C1029/D1029</f>
        <v>38.8066409849067</v>
      </c>
      <c r="G1029" s="13" t="n">
        <f aca="false">B1029-C1029</f>
        <v>9732.5776436836</v>
      </c>
      <c r="H1029" s="16" t="n">
        <f aca="false">G1029/B1029</f>
        <v>0.0921099630498932</v>
      </c>
      <c r="I1029" s="15" t="n">
        <f aca="false">G1029/D1029</f>
        <v>3.93712687851278</v>
      </c>
      <c r="J1029" s="16" t="n">
        <f aca="false">I1029/E1029</f>
        <v>0.0921099630498932</v>
      </c>
      <c r="K1029" s="17" t="str">
        <f aca="false">TEXT(A1029,"dddd")</f>
        <v>Saturday</v>
      </c>
      <c r="L1029" s="17" t="str">
        <f aca="false">IF(AND(A1029&gt;=DATE(2014,9,24),A1029&lt;=DATE(2014,10,6)),"Promo 1",IF(AND(A1029&gt;=DATE(2014,9,10),A1029&lt;=DATE(2014,9,23)),"Baseline 1",IF(AND(A1029&gt;=DATE(2015,9,23),A1029&lt;=DATE(2015,10,6)),"Promo 2",IF(AND(A1029&gt;=DATE(2015,9,9),A1029&lt;=DATE(2015,9,22)),"Baseline 2",IF(AND(A1029&gt;=DATE(2016,6,23),A1029&lt;=DATE(2016,7,6)),"Promo 3",IF(AND(A1029&gt;=DATE(2016,6,9),A1029&lt;=DATE(2016,6,22)),"Baseline 3","Other"))))))</f>
        <v>Other</v>
      </c>
    </row>
    <row r="1030" customFormat="false" ht="15" hidden="false" customHeight="true" outlineLevel="0" collapsed="false">
      <c r="A1030" s="12" t="n">
        <v>42666</v>
      </c>
      <c r="B1030" s="13" t="n">
        <v>54738.4835168351</v>
      </c>
      <c r="C1030" s="13" t="n">
        <v>49990.519289318</v>
      </c>
      <c r="D1030" s="14" t="n">
        <v>1280</v>
      </c>
      <c r="E1030" s="15" t="n">
        <f aca="false">B1030/D1030</f>
        <v>42.7644402475274</v>
      </c>
      <c r="F1030" s="15" t="n">
        <f aca="false">C1030/D1030</f>
        <v>39.0550931947797</v>
      </c>
      <c r="G1030" s="13" t="n">
        <f aca="false">B1030-C1030</f>
        <v>4747.9642275171</v>
      </c>
      <c r="H1030" s="16" t="n">
        <f aca="false">G1030/B1030</f>
        <v>0.0867390530842317</v>
      </c>
      <c r="I1030" s="15" t="n">
        <f aca="false">G1030/D1030</f>
        <v>3.70934705274773</v>
      </c>
      <c r="J1030" s="16" t="n">
        <f aca="false">I1030/E1030</f>
        <v>0.0867390530842317</v>
      </c>
      <c r="K1030" s="17" t="str">
        <f aca="false">TEXT(A1030,"dddd")</f>
        <v>Sunday</v>
      </c>
      <c r="L1030" s="17" t="str">
        <f aca="false">IF(AND(A1030&gt;=DATE(2014,9,24),A1030&lt;=DATE(2014,10,6)),"Promo 1",IF(AND(A1030&gt;=DATE(2014,9,10),A1030&lt;=DATE(2014,9,23)),"Baseline 1",IF(AND(A1030&gt;=DATE(2015,9,23),A1030&lt;=DATE(2015,10,6)),"Promo 2",IF(AND(A1030&gt;=DATE(2015,9,9),A1030&lt;=DATE(2015,9,22)),"Baseline 2",IF(AND(A1030&gt;=DATE(2016,6,23),A1030&lt;=DATE(2016,7,6)),"Promo 3",IF(AND(A1030&gt;=DATE(2016,6,9),A1030&lt;=DATE(2016,6,22)),"Baseline 3","Other"))))))</f>
        <v>Other</v>
      </c>
    </row>
    <row r="1031" customFormat="false" ht="15" hidden="false" customHeight="true" outlineLevel="0" collapsed="false">
      <c r="A1031" s="12" t="n">
        <v>42667</v>
      </c>
      <c r="B1031" s="13" t="n">
        <v>40131.5735112646</v>
      </c>
      <c r="C1031" s="13" t="n">
        <v>36347.6987151602</v>
      </c>
      <c r="D1031" s="14" t="n">
        <v>940</v>
      </c>
      <c r="E1031" s="15" t="n">
        <f aca="false">B1031/D1031</f>
        <v>42.693163309856</v>
      </c>
      <c r="F1031" s="15" t="n">
        <f aca="false">C1031/D1031</f>
        <v>38.667764590596</v>
      </c>
      <c r="G1031" s="13" t="n">
        <f aca="false">B1031-C1031</f>
        <v>3783.8747961044</v>
      </c>
      <c r="H1031" s="16" t="n">
        <f aca="false">G1031/B1031</f>
        <v>0.0942867290025968</v>
      </c>
      <c r="I1031" s="15" t="n">
        <f aca="false">G1031/D1031</f>
        <v>4.02539871926</v>
      </c>
      <c r="J1031" s="16" t="n">
        <f aca="false">I1031/E1031</f>
        <v>0.0942867290025969</v>
      </c>
      <c r="K1031" s="17" t="str">
        <f aca="false">TEXT(A1031,"dddd")</f>
        <v>Monday</v>
      </c>
      <c r="L1031" s="17" t="str">
        <f aca="false">IF(AND(A1031&gt;=DATE(2014,9,24),A1031&lt;=DATE(2014,10,6)),"Promo 1",IF(AND(A1031&gt;=DATE(2014,9,10),A1031&lt;=DATE(2014,9,23)),"Baseline 1",IF(AND(A1031&gt;=DATE(2015,9,23),A1031&lt;=DATE(2015,10,6)),"Promo 2",IF(AND(A1031&gt;=DATE(2015,9,9),A1031&lt;=DATE(2015,9,22)),"Baseline 2",IF(AND(A1031&gt;=DATE(2016,6,23),A1031&lt;=DATE(2016,7,6)),"Promo 3",IF(AND(A1031&gt;=DATE(2016,6,9),A1031&lt;=DATE(2016,6,22)),"Baseline 3","Other"))))))</f>
        <v>Other</v>
      </c>
    </row>
    <row r="1032" customFormat="false" ht="15" hidden="false" customHeight="true" outlineLevel="0" collapsed="false">
      <c r="A1032" s="12" t="n">
        <v>42668</v>
      </c>
      <c r="B1032" s="13" t="n">
        <v>70402.9919264254</v>
      </c>
      <c r="C1032" s="13" t="n">
        <v>63452.7610378137</v>
      </c>
      <c r="D1032" s="14" t="n">
        <v>1650</v>
      </c>
      <c r="E1032" s="15" t="n">
        <f aca="false">B1032/D1032</f>
        <v>42.6684799554093</v>
      </c>
      <c r="F1032" s="15" t="n">
        <f aca="false">C1032/D1032</f>
        <v>38.4562188107962</v>
      </c>
      <c r="G1032" s="13" t="n">
        <f aca="false">B1032-C1032</f>
        <v>6950.2308886117</v>
      </c>
      <c r="H1032" s="16" t="n">
        <f aca="false">G1032/B1032</f>
        <v>0.0987206750513534</v>
      </c>
      <c r="I1032" s="15" t="n">
        <f aca="false">G1032/D1032</f>
        <v>4.21226114461315</v>
      </c>
      <c r="J1032" s="16" t="n">
        <f aca="false">I1032/E1032</f>
        <v>0.0987206750513534</v>
      </c>
      <c r="K1032" s="17" t="str">
        <f aca="false">TEXT(A1032,"dddd")</f>
        <v>Tuesday</v>
      </c>
      <c r="L1032" s="17" t="str">
        <f aca="false">IF(AND(A1032&gt;=DATE(2014,9,24),A1032&lt;=DATE(2014,10,6)),"Promo 1",IF(AND(A1032&gt;=DATE(2014,9,10),A1032&lt;=DATE(2014,9,23)),"Baseline 1",IF(AND(A1032&gt;=DATE(2015,9,23),A1032&lt;=DATE(2015,10,6)),"Promo 2",IF(AND(A1032&gt;=DATE(2015,9,9),A1032&lt;=DATE(2015,9,22)),"Baseline 2",IF(AND(A1032&gt;=DATE(2016,6,23),A1032&lt;=DATE(2016,7,6)),"Promo 3",IF(AND(A1032&gt;=DATE(2016,6,9),A1032&lt;=DATE(2016,6,22)),"Baseline 3","Other"))))))</f>
        <v>Other</v>
      </c>
    </row>
    <row r="1033" customFormat="false" ht="15" hidden="false" customHeight="true" outlineLevel="0" collapsed="false">
      <c r="A1033" s="12" t="n">
        <v>42669</v>
      </c>
      <c r="B1033" s="13" t="n">
        <v>62501.7406987603</v>
      </c>
      <c r="C1033" s="13" t="n">
        <v>56100.8742886079</v>
      </c>
      <c r="D1033" s="14" t="n">
        <v>1467</v>
      </c>
      <c r="E1033" s="15" t="n">
        <f aca="false">B1033/D1033</f>
        <v>42.6051402172872</v>
      </c>
      <c r="F1033" s="15" t="n">
        <f aca="false">C1033/D1033</f>
        <v>38.2419047638772</v>
      </c>
      <c r="G1033" s="13" t="n">
        <f aca="false">B1033-C1033</f>
        <v>6400.86641015241</v>
      </c>
      <c r="H1033" s="16" t="n">
        <f aca="false">G1033/B1033</f>
        <v>0.10241101029494</v>
      </c>
      <c r="I1033" s="15" t="n">
        <f aca="false">G1033/D1033</f>
        <v>4.36323545340996</v>
      </c>
      <c r="J1033" s="16" t="n">
        <f aca="false">I1033/E1033</f>
        <v>0.10241101029494</v>
      </c>
      <c r="K1033" s="17" t="str">
        <f aca="false">TEXT(A1033,"dddd")</f>
        <v>Wednesday</v>
      </c>
      <c r="L1033" s="17" t="str">
        <f aca="false">IF(AND(A1033&gt;=DATE(2014,9,24),A1033&lt;=DATE(2014,10,6)),"Promo 1",IF(AND(A1033&gt;=DATE(2014,9,10),A1033&lt;=DATE(2014,9,23)),"Baseline 1",IF(AND(A1033&gt;=DATE(2015,9,23),A1033&lt;=DATE(2015,10,6)),"Promo 2",IF(AND(A1033&gt;=DATE(2015,9,9),A1033&lt;=DATE(2015,9,22)),"Baseline 2",IF(AND(A1033&gt;=DATE(2016,6,23),A1033&lt;=DATE(2016,7,6)),"Promo 3",IF(AND(A1033&gt;=DATE(2016,6,9),A1033&lt;=DATE(2016,6,22)),"Baseline 3","Other"))))))</f>
        <v>Other</v>
      </c>
    </row>
    <row r="1034" customFormat="false" ht="15" hidden="false" customHeight="true" outlineLevel="0" collapsed="false">
      <c r="A1034" s="12" t="n">
        <v>42670</v>
      </c>
      <c r="B1034" s="13" t="n">
        <v>53675.2182803</v>
      </c>
      <c r="C1034" s="13" t="n">
        <v>48201.940975749</v>
      </c>
      <c r="D1034" s="14" t="n">
        <v>1257</v>
      </c>
      <c r="E1034" s="15" t="n">
        <f aca="false">B1034/D1034</f>
        <v>42.7010487512331</v>
      </c>
      <c r="F1034" s="15" t="n">
        <f aca="false">C1034/D1034</f>
        <v>38.3468106410096</v>
      </c>
      <c r="G1034" s="13" t="n">
        <f aca="false">B1034-C1034</f>
        <v>5473.277304551</v>
      </c>
      <c r="H1034" s="16" t="n">
        <f aca="false">G1034/B1034</f>
        <v>0.101970284982703</v>
      </c>
      <c r="I1034" s="15" t="n">
        <f aca="false">G1034/D1034</f>
        <v>4.35423811022355</v>
      </c>
      <c r="J1034" s="16" t="n">
        <f aca="false">I1034/E1034</f>
        <v>0.101970284982703</v>
      </c>
      <c r="K1034" s="17" t="str">
        <f aca="false">TEXT(A1034,"dddd")</f>
        <v>Thursday</v>
      </c>
      <c r="L1034" s="17" t="str">
        <f aca="false">IF(AND(A1034&gt;=DATE(2014,9,24),A1034&lt;=DATE(2014,10,6)),"Promo 1",IF(AND(A1034&gt;=DATE(2014,9,10),A1034&lt;=DATE(2014,9,23)),"Baseline 1",IF(AND(A1034&gt;=DATE(2015,9,23),A1034&lt;=DATE(2015,10,6)),"Promo 2",IF(AND(A1034&gt;=DATE(2015,9,9),A1034&lt;=DATE(2015,9,22)),"Baseline 2",IF(AND(A1034&gt;=DATE(2016,6,23),A1034&lt;=DATE(2016,7,6)),"Promo 3",IF(AND(A1034&gt;=DATE(2016,6,9),A1034&lt;=DATE(2016,6,22)),"Baseline 3","Other"))))))</f>
        <v>Other</v>
      </c>
    </row>
    <row r="1035" customFormat="false" ht="15" hidden="false" customHeight="true" outlineLevel="0" collapsed="false">
      <c r="A1035" s="12" t="n">
        <v>42671</v>
      </c>
      <c r="B1035" s="13" t="n">
        <v>102606.326981947</v>
      </c>
      <c r="C1035" s="13" t="n">
        <v>92657.699525096</v>
      </c>
      <c r="D1035" s="14" t="n">
        <v>2405</v>
      </c>
      <c r="E1035" s="15" t="n">
        <f aca="false">B1035/D1035</f>
        <v>42.663753422847</v>
      </c>
      <c r="F1035" s="15" t="n">
        <f aca="false">C1035/D1035</f>
        <v>38.5271099896449</v>
      </c>
      <c r="G1035" s="13" t="n">
        <f aca="false">B1035-C1035</f>
        <v>9948.627456851</v>
      </c>
      <c r="H1035" s="16" t="n">
        <f aca="false">G1035/B1035</f>
        <v>0.0969592007576823</v>
      </c>
      <c r="I1035" s="15" t="n">
        <f aca="false">G1035/D1035</f>
        <v>4.13664343320208</v>
      </c>
      <c r="J1035" s="16" t="n">
        <f aca="false">I1035/E1035</f>
        <v>0.0969592007576823</v>
      </c>
      <c r="K1035" s="17" t="str">
        <f aca="false">TEXT(A1035,"dddd")</f>
        <v>Friday</v>
      </c>
      <c r="L1035" s="17" t="str">
        <f aca="false">IF(AND(A1035&gt;=DATE(2014,9,24),A1035&lt;=DATE(2014,10,6)),"Promo 1",IF(AND(A1035&gt;=DATE(2014,9,10),A1035&lt;=DATE(2014,9,23)),"Baseline 1",IF(AND(A1035&gt;=DATE(2015,9,23),A1035&lt;=DATE(2015,10,6)),"Promo 2",IF(AND(A1035&gt;=DATE(2015,9,9),A1035&lt;=DATE(2015,9,22)),"Baseline 2",IF(AND(A1035&gt;=DATE(2016,6,23),A1035&lt;=DATE(2016,7,6)),"Promo 3",IF(AND(A1035&gt;=DATE(2016,6,9),A1035&lt;=DATE(2016,6,22)),"Baseline 3","Other"))))))</f>
        <v>Other</v>
      </c>
    </row>
    <row r="1036" customFormat="false" ht="15" hidden="false" customHeight="true" outlineLevel="0" collapsed="false">
      <c r="A1036" s="12" t="n">
        <v>42672</v>
      </c>
      <c r="B1036" s="13" t="n">
        <v>124988.155467189</v>
      </c>
      <c r="C1036" s="13" t="n">
        <v>113187.846022975</v>
      </c>
      <c r="D1036" s="14" t="n">
        <v>2929</v>
      </c>
      <c r="E1036" s="15" t="n">
        <f aca="false">B1036/D1036</f>
        <v>42.6726375784189</v>
      </c>
      <c r="F1036" s="15" t="n">
        <f aca="false">C1036/D1036</f>
        <v>38.6438532000598</v>
      </c>
      <c r="G1036" s="13" t="n">
        <f aca="false">B1036-C1036</f>
        <v>11800.309444214</v>
      </c>
      <c r="H1036" s="16" t="n">
        <f aca="false">G1036/B1036</f>
        <v>0.0944114216271616</v>
      </c>
      <c r="I1036" s="15" t="n">
        <f aca="false">G1036/D1036</f>
        <v>4.02878437835917</v>
      </c>
      <c r="J1036" s="16" t="n">
        <f aca="false">I1036/E1036</f>
        <v>0.0944114216271616</v>
      </c>
      <c r="K1036" s="17" t="str">
        <f aca="false">TEXT(A1036,"dddd")</f>
        <v>Saturday</v>
      </c>
      <c r="L1036" s="17" t="str">
        <f aca="false">IF(AND(A1036&gt;=DATE(2014,9,24),A1036&lt;=DATE(2014,10,6)),"Promo 1",IF(AND(A1036&gt;=DATE(2014,9,10),A1036&lt;=DATE(2014,9,23)),"Baseline 1",IF(AND(A1036&gt;=DATE(2015,9,23),A1036&lt;=DATE(2015,10,6)),"Promo 2",IF(AND(A1036&gt;=DATE(2015,9,9),A1036&lt;=DATE(2015,9,22)),"Baseline 2",IF(AND(A1036&gt;=DATE(2016,6,23),A1036&lt;=DATE(2016,7,6)),"Promo 3",IF(AND(A1036&gt;=DATE(2016,6,9),A1036&lt;=DATE(2016,6,22)),"Baseline 3","Other"))))))</f>
        <v>Other</v>
      </c>
    </row>
    <row r="1037" customFormat="false" ht="15" hidden="false" customHeight="true" outlineLevel="0" collapsed="false">
      <c r="A1037" s="12" t="n">
        <v>42673</v>
      </c>
      <c r="B1037" s="13" t="n">
        <v>67521.0374889254</v>
      </c>
      <c r="C1037" s="13" t="n">
        <v>61233.7188741851</v>
      </c>
      <c r="D1037" s="14" t="n">
        <v>1582</v>
      </c>
      <c r="E1037" s="15" t="n">
        <f aca="false">B1037/D1037</f>
        <v>42.6808075151235</v>
      </c>
      <c r="F1037" s="15" t="n">
        <f aca="false">C1037/D1037</f>
        <v>38.706522676476</v>
      </c>
      <c r="G1037" s="13" t="n">
        <f aca="false">B1037-C1037</f>
        <v>6287.3186147403</v>
      </c>
      <c r="H1037" s="16" t="n">
        <f aca="false">G1037/B1037</f>
        <v>0.0931164396840249</v>
      </c>
      <c r="I1037" s="15" t="n">
        <f aca="false">G1037/D1037</f>
        <v>3.97428483864747</v>
      </c>
      <c r="J1037" s="16" t="n">
        <f aca="false">I1037/E1037</f>
        <v>0.0931164396840249</v>
      </c>
      <c r="K1037" s="17" t="str">
        <f aca="false">TEXT(A1037,"dddd")</f>
        <v>Sunday</v>
      </c>
      <c r="L1037" s="17" t="str">
        <f aca="false">IF(AND(A1037&gt;=DATE(2014,9,24),A1037&lt;=DATE(2014,10,6)),"Promo 1",IF(AND(A1037&gt;=DATE(2014,9,10),A1037&lt;=DATE(2014,9,23)),"Baseline 1",IF(AND(A1037&gt;=DATE(2015,9,23),A1037&lt;=DATE(2015,10,6)),"Promo 2",IF(AND(A1037&gt;=DATE(2015,9,9),A1037&lt;=DATE(2015,9,22)),"Baseline 2",IF(AND(A1037&gt;=DATE(2016,6,23),A1037&lt;=DATE(2016,7,6)),"Promo 3",IF(AND(A1037&gt;=DATE(2016,6,9),A1037&lt;=DATE(2016,6,22)),"Baseline 3","Other"))))))</f>
        <v>Other</v>
      </c>
    </row>
    <row r="1038" customFormat="false" ht="15" hidden="false" customHeight="true" outlineLevel="0" collapsed="false">
      <c r="A1038" s="12" t="n">
        <v>42674</v>
      </c>
      <c r="B1038" s="13" t="n">
        <v>70020.5960098404</v>
      </c>
      <c r="C1038" s="13" t="n">
        <v>62316.1513382018</v>
      </c>
      <c r="D1038" s="14" t="n">
        <v>1639</v>
      </c>
      <c r="E1038" s="15" t="n">
        <f aca="false">B1038/D1038</f>
        <v>42.7215350883712</v>
      </c>
      <c r="F1038" s="15" t="n">
        <f aca="false">C1038/D1038</f>
        <v>38.0208366920084</v>
      </c>
      <c r="G1038" s="13" t="n">
        <f aca="false">B1038-C1038</f>
        <v>7704.4446716386</v>
      </c>
      <c r="H1038" s="16" t="n">
        <f aca="false">G1038/B1038</f>
        <v>0.110031120994112</v>
      </c>
      <c r="I1038" s="15" t="n">
        <f aca="false">G1038/D1038</f>
        <v>4.70069839636278</v>
      </c>
      <c r="J1038" s="16" t="n">
        <f aca="false">I1038/E1038</f>
        <v>0.110031120994112</v>
      </c>
      <c r="K1038" s="17" t="str">
        <f aca="false">TEXT(A1038,"dddd")</f>
        <v>Monday</v>
      </c>
      <c r="L1038" s="17" t="str">
        <f aca="false">IF(AND(A1038&gt;=DATE(2014,9,24),A1038&lt;=DATE(2014,10,6)),"Promo 1",IF(AND(A1038&gt;=DATE(2014,9,10),A1038&lt;=DATE(2014,9,23)),"Baseline 1",IF(AND(A1038&gt;=DATE(2015,9,23),A1038&lt;=DATE(2015,10,6)),"Promo 2",IF(AND(A1038&gt;=DATE(2015,9,9),A1038&lt;=DATE(2015,9,22)),"Baseline 2",IF(AND(A1038&gt;=DATE(2016,6,23),A1038&lt;=DATE(2016,7,6)),"Promo 3",IF(AND(A1038&gt;=DATE(2016,6,9),A1038&lt;=DATE(2016,6,22)),"Baseline 3","Other"))))))</f>
        <v>Other</v>
      </c>
    </row>
    <row r="1039" customFormat="false" ht="15" hidden="false" customHeight="true" outlineLevel="0" collapsed="false">
      <c r="A1039" s="12" t="n">
        <v>42675</v>
      </c>
      <c r="B1039" s="13" t="n">
        <v>126954.170178997</v>
      </c>
      <c r="C1039" s="13" t="n">
        <v>110698.742897542</v>
      </c>
      <c r="D1039" s="14" t="n">
        <v>2971</v>
      </c>
      <c r="E1039" s="15" t="n">
        <f aca="false">B1039/D1039</f>
        <v>42.7311242608539</v>
      </c>
      <c r="F1039" s="15" t="n">
        <f aca="false">C1039/D1039</f>
        <v>37.2597586326294</v>
      </c>
      <c r="G1039" s="13" t="n">
        <f aca="false">B1039-C1039</f>
        <v>16255.427281455</v>
      </c>
      <c r="H1039" s="16" t="n">
        <f aca="false">G1039/B1039</f>
        <v>0.128041696137558</v>
      </c>
      <c r="I1039" s="15" t="n">
        <f aca="false">G1039/D1039</f>
        <v>5.4713656282245</v>
      </c>
      <c r="J1039" s="16" t="n">
        <f aca="false">I1039/E1039</f>
        <v>0.128041696137558</v>
      </c>
      <c r="K1039" s="17" t="str">
        <f aca="false">TEXT(A1039,"dddd")</f>
        <v>Tuesday</v>
      </c>
      <c r="L1039" s="17" t="str">
        <f aca="false">IF(AND(A1039&gt;=DATE(2014,9,24),A1039&lt;=DATE(2014,10,6)),"Promo 1",IF(AND(A1039&gt;=DATE(2014,9,10),A1039&lt;=DATE(2014,9,23)),"Baseline 1",IF(AND(A1039&gt;=DATE(2015,9,23),A1039&lt;=DATE(2015,10,6)),"Promo 2",IF(AND(A1039&gt;=DATE(2015,9,9),A1039&lt;=DATE(2015,9,22)),"Baseline 2",IF(AND(A1039&gt;=DATE(2016,6,23),A1039&lt;=DATE(2016,7,6)),"Promo 3",IF(AND(A1039&gt;=DATE(2016,6,9),A1039&lt;=DATE(2016,6,22)),"Baseline 3","Other"))))))</f>
        <v>Other</v>
      </c>
    </row>
    <row r="1040" customFormat="false" ht="15" hidden="false" customHeight="true" outlineLevel="0" collapsed="false">
      <c r="A1040" s="12" t="n">
        <v>42676</v>
      </c>
      <c r="B1040" s="13" t="n">
        <v>97558.2470510415</v>
      </c>
      <c r="C1040" s="13" t="n">
        <v>86203.8752037195</v>
      </c>
      <c r="D1040" s="14" t="n">
        <v>2284</v>
      </c>
      <c r="E1040" s="15" t="n">
        <f aca="false">B1040/D1040</f>
        <v>42.713768411139</v>
      </c>
      <c r="F1040" s="15" t="n">
        <f aca="false">C1040/D1040</f>
        <v>37.742502278336</v>
      </c>
      <c r="G1040" s="13" t="n">
        <f aca="false">B1040-C1040</f>
        <v>11354.371847322</v>
      </c>
      <c r="H1040" s="16" t="n">
        <f aca="false">G1040/B1040</f>
        <v>0.11638556647478</v>
      </c>
      <c r="I1040" s="15" t="n">
        <f aca="false">G1040/D1040</f>
        <v>4.97126613280298</v>
      </c>
      <c r="J1040" s="16" t="n">
        <f aca="false">I1040/E1040</f>
        <v>0.11638556647478</v>
      </c>
      <c r="K1040" s="17" t="str">
        <f aca="false">TEXT(A1040,"dddd")</f>
        <v>Wednesday</v>
      </c>
      <c r="L1040" s="17" t="str">
        <f aca="false">IF(AND(A1040&gt;=DATE(2014,9,24),A1040&lt;=DATE(2014,10,6)),"Promo 1",IF(AND(A1040&gt;=DATE(2014,9,10),A1040&lt;=DATE(2014,9,23)),"Baseline 1",IF(AND(A1040&gt;=DATE(2015,9,23),A1040&lt;=DATE(2015,10,6)),"Promo 2",IF(AND(A1040&gt;=DATE(2015,9,9),A1040&lt;=DATE(2015,9,22)),"Baseline 2",IF(AND(A1040&gt;=DATE(2016,6,23),A1040&lt;=DATE(2016,7,6)),"Promo 3",IF(AND(A1040&gt;=DATE(2016,6,9),A1040&lt;=DATE(2016,6,22)),"Baseline 3","Other"))))))</f>
        <v>Other</v>
      </c>
    </row>
    <row r="1041" customFormat="false" ht="15" hidden="false" customHeight="true" outlineLevel="0" collapsed="false">
      <c r="A1041" s="12" t="n">
        <v>42677</v>
      </c>
      <c r="B1041" s="13" t="n">
        <v>97039.0098704916</v>
      </c>
      <c r="C1041" s="13" t="n">
        <v>89413.4159660191</v>
      </c>
      <c r="D1041" s="14" t="n">
        <v>2266</v>
      </c>
      <c r="E1041" s="15" t="n">
        <f aca="false">B1041/D1041</f>
        <v>42.8239231555568</v>
      </c>
      <c r="F1041" s="15" t="n">
        <f aca="false">C1041/D1041</f>
        <v>39.4587007793553</v>
      </c>
      <c r="G1041" s="13" t="n">
        <f aca="false">B1041-C1041</f>
        <v>7625.5939044725</v>
      </c>
      <c r="H1041" s="16" t="n">
        <f aca="false">G1041/B1041</f>
        <v>0.078582767019672</v>
      </c>
      <c r="I1041" s="15" t="n">
        <f aca="false">G1041/D1041</f>
        <v>3.36522237620145</v>
      </c>
      <c r="J1041" s="16" t="n">
        <f aca="false">I1041/E1041</f>
        <v>0.078582767019672</v>
      </c>
      <c r="K1041" s="17" t="str">
        <f aca="false">TEXT(A1041,"dddd")</f>
        <v>Thursday</v>
      </c>
      <c r="L1041" s="17" t="str">
        <f aca="false">IF(AND(A1041&gt;=DATE(2014,9,24),A1041&lt;=DATE(2014,10,6)),"Promo 1",IF(AND(A1041&gt;=DATE(2014,9,10),A1041&lt;=DATE(2014,9,23)),"Baseline 1",IF(AND(A1041&gt;=DATE(2015,9,23),A1041&lt;=DATE(2015,10,6)),"Promo 2",IF(AND(A1041&gt;=DATE(2015,9,9),A1041&lt;=DATE(2015,9,22)),"Baseline 2",IF(AND(A1041&gt;=DATE(2016,6,23),A1041&lt;=DATE(2016,7,6)),"Promo 3",IF(AND(A1041&gt;=DATE(2016,6,9),A1041&lt;=DATE(2016,6,22)),"Baseline 3","Other"))))))</f>
        <v>Other</v>
      </c>
    </row>
    <row r="1042" customFormat="false" ht="15" hidden="false" customHeight="true" outlineLevel="0" collapsed="false">
      <c r="A1042" s="12" t="n">
        <v>42678</v>
      </c>
      <c r="B1042" s="13" t="n">
        <v>168349.265322936</v>
      </c>
      <c r="C1042" s="13" t="n">
        <v>156675.590124404</v>
      </c>
      <c r="D1042" s="14" t="n">
        <v>3938</v>
      </c>
      <c r="E1042" s="15" t="n">
        <f aca="false">B1042/D1042</f>
        <v>42.7499404070432</v>
      </c>
      <c r="F1042" s="15" t="n">
        <f aca="false">C1042/D1042</f>
        <v>39.785573926969</v>
      </c>
      <c r="G1042" s="13" t="n">
        <f aca="false">B1042-C1042</f>
        <v>11673.675198532</v>
      </c>
      <c r="H1042" s="16" t="n">
        <f aca="false">G1042/B1042</f>
        <v>0.0693420026285174</v>
      </c>
      <c r="I1042" s="15" t="n">
        <f aca="false">G1042/D1042</f>
        <v>2.96436648007415</v>
      </c>
      <c r="J1042" s="16" t="n">
        <f aca="false">I1042/E1042</f>
        <v>0.0693420026285174</v>
      </c>
      <c r="K1042" s="17" t="str">
        <f aca="false">TEXT(A1042,"dddd")</f>
        <v>Friday</v>
      </c>
      <c r="L1042" s="17" t="str">
        <f aca="false">IF(AND(A1042&gt;=DATE(2014,9,24),A1042&lt;=DATE(2014,10,6)),"Promo 1",IF(AND(A1042&gt;=DATE(2014,9,10),A1042&lt;=DATE(2014,9,23)),"Baseline 1",IF(AND(A1042&gt;=DATE(2015,9,23),A1042&lt;=DATE(2015,10,6)),"Promo 2",IF(AND(A1042&gt;=DATE(2015,9,9),A1042&lt;=DATE(2015,9,22)),"Baseline 2",IF(AND(A1042&gt;=DATE(2016,6,23),A1042&lt;=DATE(2016,7,6)),"Promo 3",IF(AND(A1042&gt;=DATE(2016,6,9),A1042&lt;=DATE(2016,6,22)),"Baseline 3","Other"))))))</f>
        <v>Other</v>
      </c>
    </row>
    <row r="1043" customFormat="false" ht="15" hidden="false" customHeight="true" outlineLevel="0" collapsed="false">
      <c r="A1043" s="12" t="n">
        <v>42679</v>
      </c>
      <c r="B1043" s="13" t="n">
        <v>202017.421978132</v>
      </c>
      <c r="C1043" s="13" t="n">
        <v>189394.693737749</v>
      </c>
      <c r="D1043" s="14" t="n">
        <v>4720</v>
      </c>
      <c r="E1043" s="15" t="n">
        <f aca="false">B1043/D1043</f>
        <v>42.8003012665534</v>
      </c>
      <c r="F1043" s="15" t="n">
        <f aca="false">C1043/D1043</f>
        <v>40.1259944359638</v>
      </c>
      <c r="G1043" s="13" t="n">
        <f aca="false">B1043-C1043</f>
        <v>12622.728240383</v>
      </c>
      <c r="H1043" s="16" t="n">
        <f aca="false">G1043/B1043</f>
        <v>0.0624833646364886</v>
      </c>
      <c r="I1043" s="15" t="n">
        <f aca="false">G1043/D1043</f>
        <v>2.67430683058962</v>
      </c>
      <c r="J1043" s="16" t="n">
        <f aca="false">I1043/E1043</f>
        <v>0.0624833646364886</v>
      </c>
      <c r="K1043" s="17" t="str">
        <f aca="false">TEXT(A1043,"dddd")</f>
        <v>Saturday</v>
      </c>
      <c r="L1043" s="17" t="str">
        <f aca="false">IF(AND(A1043&gt;=DATE(2014,9,24),A1043&lt;=DATE(2014,10,6)),"Promo 1",IF(AND(A1043&gt;=DATE(2014,9,10),A1043&lt;=DATE(2014,9,23)),"Baseline 1",IF(AND(A1043&gt;=DATE(2015,9,23),A1043&lt;=DATE(2015,10,6)),"Promo 2",IF(AND(A1043&gt;=DATE(2015,9,9),A1043&lt;=DATE(2015,9,22)),"Baseline 2",IF(AND(A1043&gt;=DATE(2016,6,23),A1043&lt;=DATE(2016,7,6)),"Promo 3",IF(AND(A1043&gt;=DATE(2016,6,9),A1043&lt;=DATE(2016,6,22)),"Baseline 3","Other"))))))</f>
        <v>Other</v>
      </c>
    </row>
    <row r="1044" customFormat="false" ht="15" hidden="false" customHeight="true" outlineLevel="0" collapsed="false">
      <c r="A1044" s="12" t="n">
        <v>42680</v>
      </c>
      <c r="B1044" s="13" t="n">
        <v>108459.000053622</v>
      </c>
      <c r="C1044" s="13" t="n">
        <v>102250.167775968</v>
      </c>
      <c r="D1044" s="14" t="n">
        <v>2537</v>
      </c>
      <c r="E1044" s="15" t="n">
        <f aca="false">B1044/D1044</f>
        <v>42.7508868953969</v>
      </c>
      <c r="F1044" s="15" t="n">
        <f aca="false">C1044/D1044</f>
        <v>40.3035742120489</v>
      </c>
      <c r="G1044" s="13" t="n">
        <f aca="false">B1044-C1044</f>
        <v>6208.832277654</v>
      </c>
      <c r="H1044" s="16" t="n">
        <f aca="false">G1044/B1044</f>
        <v>0.0572458926837271</v>
      </c>
      <c r="I1044" s="15" t="n">
        <f aca="false">G1044/D1044</f>
        <v>2.44731268334805</v>
      </c>
      <c r="J1044" s="16" t="n">
        <f aca="false">I1044/E1044</f>
        <v>0.0572458926837271</v>
      </c>
      <c r="K1044" s="17" t="str">
        <f aca="false">TEXT(A1044,"dddd")</f>
        <v>Sunday</v>
      </c>
      <c r="L1044" s="17" t="str">
        <f aca="false">IF(AND(A1044&gt;=DATE(2014,9,24),A1044&lt;=DATE(2014,10,6)),"Promo 1",IF(AND(A1044&gt;=DATE(2014,9,10),A1044&lt;=DATE(2014,9,23)),"Baseline 1",IF(AND(A1044&gt;=DATE(2015,9,23),A1044&lt;=DATE(2015,10,6)),"Promo 2",IF(AND(A1044&gt;=DATE(2015,9,9),A1044&lt;=DATE(2015,9,22)),"Baseline 2",IF(AND(A1044&gt;=DATE(2016,6,23),A1044&lt;=DATE(2016,7,6)),"Promo 3",IF(AND(A1044&gt;=DATE(2016,6,9),A1044&lt;=DATE(2016,6,22)),"Baseline 3","Other"))))))</f>
        <v>Other</v>
      </c>
    </row>
    <row r="1045" customFormat="false" ht="15" hidden="false" customHeight="true" outlineLevel="0" collapsed="false">
      <c r="A1045" s="12" t="n">
        <v>42681</v>
      </c>
      <c r="B1045" s="13" t="n">
        <v>112536.377057253</v>
      </c>
      <c r="C1045" s="13" t="n">
        <v>105978.482478313</v>
      </c>
      <c r="D1045" s="14" t="n">
        <v>2621</v>
      </c>
      <c r="E1045" s="15" t="n">
        <f aca="false">B1045/D1045</f>
        <v>42.9364277211953</v>
      </c>
      <c r="F1045" s="15" t="n">
        <f aca="false">C1045/D1045</f>
        <v>40.4343695071778</v>
      </c>
      <c r="G1045" s="13" t="n">
        <f aca="false">B1045-C1045</f>
        <v>6557.89457894</v>
      </c>
      <c r="H1045" s="16" t="n">
        <f aca="false">G1045/B1045</f>
        <v>0.0582735534093448</v>
      </c>
      <c r="I1045" s="15" t="n">
        <f aca="false">G1045/D1045</f>
        <v>2.50205821401755</v>
      </c>
      <c r="J1045" s="16" t="n">
        <f aca="false">I1045/E1045</f>
        <v>0.0582735534093449</v>
      </c>
      <c r="K1045" s="17" t="str">
        <f aca="false">TEXT(A1045,"dddd")</f>
        <v>Monday</v>
      </c>
      <c r="L1045" s="17" t="str">
        <f aca="false">IF(AND(A1045&gt;=DATE(2014,9,24),A1045&lt;=DATE(2014,10,6)),"Promo 1",IF(AND(A1045&gt;=DATE(2014,9,10),A1045&lt;=DATE(2014,9,23)),"Baseline 1",IF(AND(A1045&gt;=DATE(2015,9,23),A1045&lt;=DATE(2015,10,6)),"Promo 2",IF(AND(A1045&gt;=DATE(2015,9,9),A1045&lt;=DATE(2015,9,22)),"Baseline 2",IF(AND(A1045&gt;=DATE(2016,6,23),A1045&lt;=DATE(2016,7,6)),"Promo 3",IF(AND(A1045&gt;=DATE(2016,6,9),A1045&lt;=DATE(2016,6,22)),"Baseline 3","Other"))))))</f>
        <v>Other</v>
      </c>
    </row>
    <row r="1046" customFormat="false" ht="15" hidden="false" customHeight="true" outlineLevel="0" collapsed="false">
      <c r="A1046" s="12" t="n">
        <v>42682</v>
      </c>
      <c r="B1046" s="13" t="n">
        <v>100479.929988872</v>
      </c>
      <c r="C1046" s="13" t="n">
        <v>94692.479289428</v>
      </c>
      <c r="D1046" s="14" t="n">
        <v>2341</v>
      </c>
      <c r="E1046" s="15" t="n">
        <f aca="false">B1046/D1046</f>
        <v>42.9217983720085</v>
      </c>
      <c r="F1046" s="15" t="n">
        <f aca="false">C1046/D1046</f>
        <v>40.4495853436258</v>
      </c>
      <c r="G1046" s="13" t="n">
        <f aca="false">B1046-C1046</f>
        <v>5787.450699444</v>
      </c>
      <c r="H1046" s="16" t="n">
        <f aca="false">G1046/B1046</f>
        <v>0.0575980765520533</v>
      </c>
      <c r="I1046" s="15" t="n">
        <f aca="false">G1046/D1046</f>
        <v>2.47221302838274</v>
      </c>
      <c r="J1046" s="16" t="n">
        <f aca="false">I1046/E1046</f>
        <v>0.0575980765520533</v>
      </c>
      <c r="K1046" s="17" t="str">
        <f aca="false">TEXT(A1046,"dddd")</f>
        <v>Tuesday</v>
      </c>
      <c r="L1046" s="17" t="str">
        <f aca="false">IF(AND(A1046&gt;=DATE(2014,9,24),A1046&lt;=DATE(2014,10,6)),"Promo 1",IF(AND(A1046&gt;=DATE(2014,9,10),A1046&lt;=DATE(2014,9,23)),"Baseline 1",IF(AND(A1046&gt;=DATE(2015,9,23),A1046&lt;=DATE(2015,10,6)),"Promo 2",IF(AND(A1046&gt;=DATE(2015,9,9),A1046&lt;=DATE(2015,9,22)),"Baseline 2",IF(AND(A1046&gt;=DATE(2016,6,23),A1046&lt;=DATE(2016,7,6)),"Promo 3",IF(AND(A1046&gt;=DATE(2016,6,9),A1046&lt;=DATE(2016,6,22)),"Baseline 3","Other"))))))</f>
        <v>Other</v>
      </c>
    </row>
    <row r="1047" customFormat="false" ht="15" hidden="false" customHeight="true" outlineLevel="0" collapsed="false">
      <c r="A1047" s="12" t="n">
        <v>42683</v>
      </c>
      <c r="B1047" s="13" t="n">
        <v>81649.6886724109</v>
      </c>
      <c r="C1047" s="13" t="n">
        <v>77081.6605739504</v>
      </c>
      <c r="D1047" s="14" t="n">
        <v>1901</v>
      </c>
      <c r="E1047" s="15" t="n">
        <f aca="false">B1047/D1047</f>
        <v>42.9509146093692</v>
      </c>
      <c r="F1047" s="15" t="n">
        <f aca="false">C1047/D1047</f>
        <v>40.5479540104947</v>
      </c>
      <c r="G1047" s="13" t="n">
        <f aca="false">B1047-C1047</f>
        <v>4568.02809846051</v>
      </c>
      <c r="H1047" s="16" t="n">
        <f aca="false">G1047/B1047</f>
        <v>0.0559466689063326</v>
      </c>
      <c r="I1047" s="15" t="n">
        <f aca="false">G1047/D1047</f>
        <v>2.40296059887454</v>
      </c>
      <c r="J1047" s="16" t="n">
        <f aca="false">I1047/E1047</f>
        <v>0.0559466689063326</v>
      </c>
      <c r="K1047" s="17" t="str">
        <f aca="false">TEXT(A1047,"dddd")</f>
        <v>Wednesday</v>
      </c>
      <c r="L1047" s="17" t="str">
        <f aca="false">IF(AND(A1047&gt;=DATE(2014,9,24),A1047&lt;=DATE(2014,10,6)),"Promo 1",IF(AND(A1047&gt;=DATE(2014,9,10),A1047&lt;=DATE(2014,9,23)),"Baseline 1",IF(AND(A1047&gt;=DATE(2015,9,23),A1047&lt;=DATE(2015,10,6)),"Promo 2",IF(AND(A1047&gt;=DATE(2015,9,9),A1047&lt;=DATE(2015,9,22)),"Baseline 2",IF(AND(A1047&gt;=DATE(2016,6,23),A1047&lt;=DATE(2016,7,6)),"Promo 3",IF(AND(A1047&gt;=DATE(2016,6,9),A1047&lt;=DATE(2016,6,22)),"Baseline 3","Other"))))))</f>
        <v>Other</v>
      </c>
    </row>
    <row r="1048" customFormat="false" ht="15" hidden="false" customHeight="true" outlineLevel="0" collapsed="false">
      <c r="A1048" s="12" t="n">
        <v>42684</v>
      </c>
      <c r="B1048" s="13" t="n">
        <v>71529.1626442405</v>
      </c>
      <c r="C1048" s="13" t="n">
        <v>67551.2509710929</v>
      </c>
      <c r="D1048" s="14" t="n">
        <v>1666</v>
      </c>
      <c r="E1048" s="15" t="n">
        <f aca="false">B1048/D1048</f>
        <v>42.9346714551264</v>
      </c>
      <c r="F1048" s="15" t="n">
        <f aca="false">C1048/D1048</f>
        <v>40.5469693704039</v>
      </c>
      <c r="G1048" s="13" t="n">
        <f aca="false">B1048-C1048</f>
        <v>3977.9116731476</v>
      </c>
      <c r="H1048" s="16" t="n">
        <f aca="false">G1048/B1048</f>
        <v>0.0556124456948036</v>
      </c>
      <c r="I1048" s="15" t="n">
        <f aca="false">G1048/D1048</f>
        <v>2.38770208472245</v>
      </c>
      <c r="J1048" s="16" t="n">
        <f aca="false">I1048/E1048</f>
        <v>0.0556124456948035</v>
      </c>
      <c r="K1048" s="17" t="str">
        <f aca="false">TEXT(A1048,"dddd")</f>
        <v>Thursday</v>
      </c>
      <c r="L1048" s="17" t="str">
        <f aca="false">IF(AND(A1048&gt;=DATE(2014,9,24),A1048&lt;=DATE(2014,10,6)),"Promo 1",IF(AND(A1048&gt;=DATE(2014,9,10),A1048&lt;=DATE(2014,9,23)),"Baseline 1",IF(AND(A1048&gt;=DATE(2015,9,23),A1048&lt;=DATE(2015,10,6)),"Promo 2",IF(AND(A1048&gt;=DATE(2015,9,9),A1048&lt;=DATE(2015,9,22)),"Baseline 2",IF(AND(A1048&gt;=DATE(2016,6,23),A1048&lt;=DATE(2016,7,6)),"Promo 3",IF(AND(A1048&gt;=DATE(2016,6,9),A1048&lt;=DATE(2016,6,22)),"Baseline 3","Other"))))))</f>
        <v>Other</v>
      </c>
    </row>
    <row r="1049" customFormat="false" ht="15" hidden="false" customHeight="true" outlineLevel="0" collapsed="false">
      <c r="A1049" s="12" t="n">
        <v>42685</v>
      </c>
      <c r="B1049" s="13" t="n">
        <v>160938.601615075</v>
      </c>
      <c r="C1049" s="13" t="n">
        <v>152555.417337231</v>
      </c>
      <c r="D1049" s="14" t="n">
        <v>3748</v>
      </c>
      <c r="E1049" s="15" t="n">
        <f aca="false">B1049/D1049</f>
        <v>42.9398616902548</v>
      </c>
      <c r="F1049" s="15" t="n">
        <f aca="false">C1049/D1049</f>
        <v>40.7031529715131</v>
      </c>
      <c r="G1049" s="13" t="n">
        <f aca="false">B1049-C1049</f>
        <v>8383.184277844</v>
      </c>
      <c r="H1049" s="16" t="n">
        <f aca="false">G1049/B1049</f>
        <v>0.0520893321659057</v>
      </c>
      <c r="I1049" s="15" t="n">
        <f aca="false">G1049/D1049</f>
        <v>2.23670871874173</v>
      </c>
      <c r="J1049" s="16" t="n">
        <f aca="false">I1049/E1049</f>
        <v>0.0520893321659057</v>
      </c>
      <c r="K1049" s="17" t="str">
        <f aca="false">TEXT(A1049,"dddd")</f>
        <v>Friday</v>
      </c>
      <c r="L1049" s="17" t="str">
        <f aca="false">IF(AND(A1049&gt;=DATE(2014,9,24),A1049&lt;=DATE(2014,10,6)),"Promo 1",IF(AND(A1049&gt;=DATE(2014,9,10),A1049&lt;=DATE(2014,9,23)),"Baseline 1",IF(AND(A1049&gt;=DATE(2015,9,23),A1049&lt;=DATE(2015,10,6)),"Promo 2",IF(AND(A1049&gt;=DATE(2015,9,9),A1049&lt;=DATE(2015,9,22)),"Baseline 2",IF(AND(A1049&gt;=DATE(2016,6,23),A1049&lt;=DATE(2016,7,6)),"Promo 3",IF(AND(A1049&gt;=DATE(2016,6,9),A1049&lt;=DATE(2016,6,22)),"Baseline 3","Other"))))))</f>
        <v>Other</v>
      </c>
    </row>
    <row r="1050" customFormat="false" ht="15" hidden="false" customHeight="true" outlineLevel="0" collapsed="false">
      <c r="A1050" s="12" t="n">
        <v>42686</v>
      </c>
      <c r="B1050" s="13" t="n">
        <v>164998.844641165</v>
      </c>
      <c r="C1050" s="13" t="n">
        <v>156263.14947391</v>
      </c>
      <c r="D1050" s="14" t="n">
        <v>3843</v>
      </c>
      <c r="E1050" s="15" t="n">
        <f aca="false">B1050/D1050</f>
        <v>42.9349062298114</v>
      </c>
      <c r="F1050" s="15" t="n">
        <f aca="false">C1050/D1050</f>
        <v>40.6617615076529</v>
      </c>
      <c r="G1050" s="13" t="n">
        <f aca="false">B1050-C1050</f>
        <v>8735.69516725501</v>
      </c>
      <c r="H1050" s="16" t="n">
        <f aca="false">G1050/B1050</f>
        <v>0.0529439777972577</v>
      </c>
      <c r="I1050" s="15" t="n">
        <f aca="false">G1050/D1050</f>
        <v>2.27314472215847</v>
      </c>
      <c r="J1050" s="16" t="n">
        <f aca="false">I1050/E1050</f>
        <v>0.0529439777972577</v>
      </c>
      <c r="K1050" s="17" t="str">
        <f aca="false">TEXT(A1050,"dddd")</f>
        <v>Saturday</v>
      </c>
      <c r="L1050" s="17" t="str">
        <f aca="false">IF(AND(A1050&gt;=DATE(2014,9,24),A1050&lt;=DATE(2014,10,6)),"Promo 1",IF(AND(A1050&gt;=DATE(2014,9,10),A1050&lt;=DATE(2014,9,23)),"Baseline 1",IF(AND(A1050&gt;=DATE(2015,9,23),A1050&lt;=DATE(2015,10,6)),"Promo 2",IF(AND(A1050&gt;=DATE(2015,9,9),A1050&lt;=DATE(2015,9,22)),"Baseline 2",IF(AND(A1050&gt;=DATE(2016,6,23),A1050&lt;=DATE(2016,7,6)),"Promo 3",IF(AND(A1050&gt;=DATE(2016,6,9),A1050&lt;=DATE(2016,6,22)),"Baseline 3","Other"))))))</f>
        <v>Other</v>
      </c>
    </row>
    <row r="1051" customFormat="false" ht="15" hidden="false" customHeight="true" outlineLevel="0" collapsed="false">
      <c r="A1051" s="12" t="n">
        <v>42687</v>
      </c>
      <c r="B1051" s="13" t="n">
        <v>97946.7830473968</v>
      </c>
      <c r="C1051" s="13" t="n">
        <v>93112.6089092733</v>
      </c>
      <c r="D1051" s="14" t="n">
        <v>2281</v>
      </c>
      <c r="E1051" s="15" t="n">
        <f aca="false">B1051/D1051</f>
        <v>42.9402819146851</v>
      </c>
      <c r="F1051" s="15" t="n">
        <f aca="false">C1051/D1051</f>
        <v>40.8209596270378</v>
      </c>
      <c r="G1051" s="13" t="n">
        <f aca="false">B1051-C1051</f>
        <v>4834.1741381235</v>
      </c>
      <c r="H1051" s="16" t="n">
        <f aca="false">G1051/B1051</f>
        <v>0.0493551088429748</v>
      </c>
      <c r="I1051" s="15" t="n">
        <f aca="false">G1051/D1051</f>
        <v>2.11932228764731</v>
      </c>
      <c r="J1051" s="16" t="n">
        <f aca="false">I1051/E1051</f>
        <v>0.0493551088429748</v>
      </c>
      <c r="K1051" s="17" t="str">
        <f aca="false">TEXT(A1051,"dddd")</f>
        <v>Sunday</v>
      </c>
      <c r="L1051" s="17" t="str">
        <f aca="false">IF(AND(A1051&gt;=DATE(2014,9,24),A1051&lt;=DATE(2014,10,6)),"Promo 1",IF(AND(A1051&gt;=DATE(2014,9,10),A1051&lt;=DATE(2014,9,23)),"Baseline 1",IF(AND(A1051&gt;=DATE(2015,9,23),A1051&lt;=DATE(2015,10,6)),"Promo 2",IF(AND(A1051&gt;=DATE(2015,9,9),A1051&lt;=DATE(2015,9,22)),"Baseline 2",IF(AND(A1051&gt;=DATE(2016,6,23),A1051&lt;=DATE(2016,7,6)),"Promo 3",IF(AND(A1051&gt;=DATE(2016,6,9),A1051&lt;=DATE(2016,6,22)),"Baseline 3","Other"))))))</f>
        <v>Other</v>
      </c>
    </row>
    <row r="1052" customFormat="false" ht="15" hidden="false" customHeight="true" outlineLevel="0" collapsed="false">
      <c r="A1052" s="12" t="n">
        <v>42688</v>
      </c>
      <c r="B1052" s="13" t="n">
        <v>87834.2536843813</v>
      </c>
      <c r="C1052" s="13" t="n">
        <v>83068.2690265072</v>
      </c>
      <c r="D1052" s="14" t="n">
        <v>2046</v>
      </c>
      <c r="E1052" s="15" t="n">
        <f aca="false">B1052/D1052</f>
        <v>42.9297427587396</v>
      </c>
      <c r="F1052" s="15" t="n">
        <f aca="false">C1052/D1052</f>
        <v>40.6003269924278</v>
      </c>
      <c r="G1052" s="13" t="n">
        <f aca="false">B1052-C1052</f>
        <v>4765.9846578741</v>
      </c>
      <c r="H1052" s="16" t="n">
        <f aca="false">G1052/B1052</f>
        <v>0.0542611163407834</v>
      </c>
      <c r="I1052" s="15" t="n">
        <f aca="false">G1052/D1052</f>
        <v>2.32941576631188</v>
      </c>
      <c r="J1052" s="16" t="n">
        <f aca="false">I1052/E1052</f>
        <v>0.0542611163407834</v>
      </c>
      <c r="K1052" s="17" t="str">
        <f aca="false">TEXT(A1052,"dddd")</f>
        <v>Monday</v>
      </c>
      <c r="L1052" s="17" t="str">
        <f aca="false">IF(AND(A1052&gt;=DATE(2014,9,24),A1052&lt;=DATE(2014,10,6)),"Promo 1",IF(AND(A1052&gt;=DATE(2014,9,10),A1052&lt;=DATE(2014,9,23)),"Baseline 1",IF(AND(A1052&gt;=DATE(2015,9,23),A1052&lt;=DATE(2015,10,6)),"Promo 2",IF(AND(A1052&gt;=DATE(2015,9,9),A1052&lt;=DATE(2015,9,22)),"Baseline 2",IF(AND(A1052&gt;=DATE(2016,6,23),A1052&lt;=DATE(2016,7,6)),"Promo 3",IF(AND(A1052&gt;=DATE(2016,6,9),A1052&lt;=DATE(2016,6,22)),"Baseline 3","Other"))))))</f>
        <v>Other</v>
      </c>
    </row>
    <row r="1053" customFormat="false" ht="15" hidden="false" customHeight="true" outlineLevel="0" collapsed="false">
      <c r="A1053" s="12" t="n">
        <v>42689</v>
      </c>
      <c r="B1053" s="13" t="n">
        <v>95509.13497507</v>
      </c>
      <c r="C1053" s="13" t="n">
        <v>88104.2045304005</v>
      </c>
      <c r="D1053" s="14" t="n">
        <v>2181</v>
      </c>
      <c r="E1053" s="15" t="n">
        <f aca="false">B1053/D1053</f>
        <v>43.7914419876525</v>
      </c>
      <c r="F1053" s="15" t="n">
        <f aca="false">C1053/D1053</f>
        <v>40.3962423339755</v>
      </c>
      <c r="G1053" s="13" t="n">
        <f aca="false">B1053-C1053</f>
        <v>7404.9304446695</v>
      </c>
      <c r="H1053" s="16" t="n">
        <f aca="false">G1053/B1053</f>
        <v>0.0775311225109761</v>
      </c>
      <c r="I1053" s="15" t="n">
        <f aca="false">G1053/D1053</f>
        <v>3.39519965367698</v>
      </c>
      <c r="J1053" s="16" t="n">
        <f aca="false">I1053/E1053</f>
        <v>0.0775311225109761</v>
      </c>
      <c r="K1053" s="17" t="str">
        <f aca="false">TEXT(A1053,"dddd")</f>
        <v>Tuesday</v>
      </c>
      <c r="L1053" s="17" t="str">
        <f aca="false">IF(AND(A1053&gt;=DATE(2014,9,24),A1053&lt;=DATE(2014,10,6)),"Promo 1",IF(AND(A1053&gt;=DATE(2014,9,10),A1053&lt;=DATE(2014,9,23)),"Baseline 1",IF(AND(A1053&gt;=DATE(2015,9,23),A1053&lt;=DATE(2015,10,6)),"Promo 2",IF(AND(A1053&gt;=DATE(2015,9,9),A1053&lt;=DATE(2015,9,22)),"Baseline 2",IF(AND(A1053&gt;=DATE(2016,6,23),A1053&lt;=DATE(2016,7,6)),"Promo 3",IF(AND(A1053&gt;=DATE(2016,6,9),A1053&lt;=DATE(2016,6,22)),"Baseline 3","Other"))))))</f>
        <v>Other</v>
      </c>
    </row>
    <row r="1054" customFormat="false" ht="15" hidden="false" customHeight="true" outlineLevel="0" collapsed="false">
      <c r="A1054" s="12" t="n">
        <v>42690</v>
      </c>
      <c r="B1054" s="13" t="n">
        <v>77229.9718852395</v>
      </c>
      <c r="C1054" s="13" t="n">
        <v>71428.8700021723</v>
      </c>
      <c r="D1054" s="14" t="n">
        <v>1763</v>
      </c>
      <c r="E1054" s="15" t="n">
        <f aca="false">B1054/D1054</f>
        <v>43.8059965316163</v>
      </c>
      <c r="F1054" s="15" t="n">
        <f aca="false">C1054/D1054</f>
        <v>40.5155246750836</v>
      </c>
      <c r="G1054" s="13" t="n">
        <f aca="false">B1054-C1054</f>
        <v>5801.1018830672</v>
      </c>
      <c r="H1054" s="16" t="n">
        <f aca="false">G1054/B1054</f>
        <v>0.0751146445021033</v>
      </c>
      <c r="I1054" s="15" t="n">
        <f aca="false">G1054/D1054</f>
        <v>3.29047185653273</v>
      </c>
      <c r="J1054" s="16" t="n">
        <f aca="false">I1054/E1054</f>
        <v>0.0751146445021033</v>
      </c>
      <c r="K1054" s="17" t="str">
        <f aca="false">TEXT(A1054,"dddd")</f>
        <v>Wednesday</v>
      </c>
      <c r="L1054" s="17" t="str">
        <f aca="false">IF(AND(A1054&gt;=DATE(2014,9,24),A1054&lt;=DATE(2014,10,6)),"Promo 1",IF(AND(A1054&gt;=DATE(2014,9,10),A1054&lt;=DATE(2014,9,23)),"Baseline 1",IF(AND(A1054&gt;=DATE(2015,9,23),A1054&lt;=DATE(2015,10,6)),"Promo 2",IF(AND(A1054&gt;=DATE(2015,9,9),A1054&lt;=DATE(2015,9,22)),"Baseline 2",IF(AND(A1054&gt;=DATE(2016,6,23),A1054&lt;=DATE(2016,7,6)),"Promo 3",IF(AND(A1054&gt;=DATE(2016,6,9),A1054&lt;=DATE(2016,6,22)),"Baseline 3","Other"))))))</f>
        <v>Other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32"/>
    <col collapsed="false" customWidth="true" hidden="false" outlineLevel="0" max="2" min="2" style="10" width="20"/>
  </cols>
  <sheetData>
    <row r="1" customFormat="false" ht="15" hidden="false" customHeight="true" outlineLevel="0" collapsed="false">
      <c r="A1" s="18" t="s">
        <v>21</v>
      </c>
      <c r="B1" s="18" t="s">
        <v>22</v>
      </c>
    </row>
    <row r="2" customFormat="false" ht="15" hidden="false" customHeight="true" outlineLevel="0" collapsed="false">
      <c r="A2" s="19" t="s">
        <v>23</v>
      </c>
      <c r="B2" s="19" t="str">
        <f aca="false">TEXT(MIN('Sales Master'!A2:A1054),"yyyy-mm-dd")</f>
        <v>2013-12-30</v>
      </c>
    </row>
    <row r="3" customFormat="false" ht="15" hidden="false" customHeight="true" outlineLevel="0" collapsed="false">
      <c r="A3" s="19" t="s">
        <v>24</v>
      </c>
      <c r="B3" s="19" t="str">
        <f aca="false">TEXT(MAX('Sales Master'!A2:A1054),"yyyy-mm-dd")</f>
        <v>2016-11-16</v>
      </c>
    </row>
    <row r="4" customFormat="false" ht="15" hidden="false" customHeight="true" outlineLevel="0" collapsed="false">
      <c r="A4" s="19" t="s">
        <v>25</v>
      </c>
      <c r="B4" s="19" t="n">
        <f aca="false">COUNT('Sales Master'!A2:A1054)</f>
        <v>1053</v>
      </c>
    </row>
    <row r="5" customFormat="false" ht="15" hidden="false" customHeight="true" outlineLevel="0" collapsed="false">
      <c r="A5" s="19" t="s">
        <v>1</v>
      </c>
      <c r="B5" s="20" t="n">
        <f aca="false">SUM('Sales Master'!B2:B1054)</f>
        <v>186909828.256483</v>
      </c>
    </row>
    <row r="6" customFormat="false" ht="15" hidden="false" customHeight="true" outlineLevel="0" collapsed="false">
      <c r="A6" s="19" t="s">
        <v>2</v>
      </c>
      <c r="B6" s="20" t="n">
        <f aca="false">SUM('Sales Master'!C2:C1054)</f>
        <v>194026109.446509</v>
      </c>
    </row>
    <row r="7" customFormat="false" ht="15" hidden="false" customHeight="true" outlineLevel="0" collapsed="false">
      <c r="A7" s="19" t="s">
        <v>4</v>
      </c>
      <c r="B7" s="19" t="n">
        <f aca="false">SUM('Sales Master'!D2:D1054)</f>
        <v>5279872</v>
      </c>
    </row>
    <row r="8" customFormat="false" ht="15" hidden="false" customHeight="true" outlineLevel="0" collapsed="false">
      <c r="A8" s="19" t="s">
        <v>26</v>
      </c>
      <c r="B8" s="20" t="n">
        <f aca="false">SUM('Sales Master'!B2:B1054)/SUM('Sales Master'!D2:D1054)</f>
        <v>35.4004468775916</v>
      </c>
    </row>
    <row r="9" customFormat="false" ht="15" hidden="false" customHeight="true" outlineLevel="0" collapsed="false">
      <c r="A9" s="19" t="s">
        <v>27</v>
      </c>
      <c r="B9" s="21" t="n">
        <f aca="false">SUM('Sales Master'!G2:G1054)/SUM('Sales Master'!B2:B1054)</f>
        <v>-0.0380733386596495</v>
      </c>
    </row>
    <row r="10" customFormat="false" ht="15" hidden="false" customHeight="true" outlineLevel="0" collapsed="false">
      <c r="A10" s="19" t="s">
        <v>28</v>
      </c>
      <c r="B10" s="20" t="n">
        <f aca="false">MIN('Sales Master'!E2:E1054)</f>
        <v>30.7023700886226</v>
      </c>
    </row>
    <row r="11" customFormat="false" ht="15" hidden="false" customHeight="true" outlineLevel="0" collapsed="false">
      <c r="A11" s="19" t="s">
        <v>29</v>
      </c>
      <c r="B11" s="20" t="n">
        <f aca="false">MAX('Sales Master'!E2:E1054)</f>
        <v>43.8059965316163</v>
      </c>
    </row>
    <row r="12" customFormat="false" ht="15" hidden="false" customHeight="true" outlineLevel="0" collapsed="false">
      <c r="A12" s="19" t="s">
        <v>30</v>
      </c>
      <c r="B12" s="20" t="n">
        <f aca="false">STDEV('Sales Master'!E2:E1054)</f>
        <v>3.4450579798812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8"/>
    <col collapsed="false" customWidth="true" hidden="false" outlineLevel="0" max="5" min="2" style="10" width="12"/>
    <col collapsed="false" customWidth="true" hidden="false" outlineLevel="0" max="6" min="6" style="10" width="14"/>
    <col collapsed="false" customWidth="true" hidden="false" outlineLevel="0" max="7" min="7" style="10" width="12"/>
    <col collapsed="false" customWidth="true" hidden="false" outlineLevel="0" max="8" min="8" style="10" width="14"/>
    <col collapsed="false" customWidth="true" hidden="false" outlineLevel="0" max="11" min="9" style="10" width="12"/>
    <col collapsed="false" customWidth="true" hidden="false" outlineLevel="0" max="12" min="12" style="10" width="16"/>
    <col collapsed="false" customWidth="true" hidden="false" outlineLevel="0" max="14" min="13" style="10" width="18"/>
  </cols>
  <sheetData>
    <row r="1" customFormat="false" ht="31.5" hidden="false" customHeight="true" outlineLevel="0" collapsed="false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1" t="s">
        <v>36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  <c r="N1" s="11" t="s">
        <v>44</v>
      </c>
    </row>
    <row r="2" customFormat="false" ht="15" hidden="false" customHeight="true" outlineLevel="0" collapsed="false">
      <c r="A2" s="17" t="n">
        <v>1</v>
      </c>
      <c r="B2" s="12" t="s">
        <v>45</v>
      </c>
      <c r="C2" s="12" t="s">
        <v>46</v>
      </c>
      <c r="D2" s="12" t="s">
        <v>47</v>
      </c>
      <c r="E2" s="12" t="s">
        <v>48</v>
      </c>
      <c r="F2" s="13" t="n">
        <f aca="false">AVERAGEIFS('Sales Master'!$E$2:$E$1054,'Sales Master'!$A$2:$A$1054,"&gt;="&amp;D2,'Sales Master'!$A$2:$A$1054,"&lt;="&amp;E2)</f>
        <v>35.0360169896697</v>
      </c>
      <c r="G2" s="14" t="n">
        <f aca="false">AVERAGEIFS('Sales Master'!$D$2:$D$1054,'Sales Master'!$A$2:$A$1054,"&gt;="&amp;D2,'Sales Master'!$A$2:$A$1054,"&lt;="&amp;E2)</f>
        <v>2997.57142857143</v>
      </c>
      <c r="H2" s="13" t="n">
        <f aca="false">AVERAGEIFS('Sales Master'!$E$2:$E$1054,'Sales Master'!$A$2:$A$1054,"&gt;="&amp;B2,'Sales Master'!$A$2:$A$1054,"&lt;="&amp;C2)</f>
        <v>32.4518364788874</v>
      </c>
      <c r="I2" s="14" t="n">
        <f aca="false">AVERAGEIFS('Sales Master'!$D$2:$D$1054,'Sales Master'!$A$2:$A$1054,"&gt;="&amp;B2,'Sales Master'!$A$2:$A$1054,"&lt;="&amp;C2)</f>
        <v>13210.0769230769</v>
      </c>
      <c r="J2" s="16" t="n">
        <f aca="false">(H2-F2)/F2</f>
        <v>-0.0737578278816401</v>
      </c>
      <c r="K2" s="16" t="n">
        <f aca="false">(I2-G2)/G2</f>
        <v>3.40692648627644</v>
      </c>
      <c r="L2" s="15" t="n">
        <f aca="false">K2/J2</f>
        <v>-46.1907106557363</v>
      </c>
      <c r="M2" s="14" t="n">
        <f aca="false">SUMIFS('Sales Master'!$G$2:$G$1054,'Sales Master'!$A$2:$A$1054,"&gt;="&amp;D2,'Sales Master'!$A$2:$A$1054,"&lt;="&amp;E2)</f>
        <v>23880.5627747612</v>
      </c>
      <c r="N2" s="14" t="n">
        <f aca="false">SUMIFS('Sales Master'!$G$2:$G$1054,'Sales Master'!$A$2:$A$1054,"&gt;="&amp;B2,'Sales Master'!$A$2:$A$1054,"&lt;="&amp;C2)</f>
        <v>-408820.220497414</v>
      </c>
    </row>
    <row r="3" customFormat="false" ht="15" hidden="false" customHeight="true" outlineLevel="0" collapsed="false">
      <c r="A3" s="17" t="n">
        <v>2</v>
      </c>
      <c r="B3" s="12" t="s">
        <v>49</v>
      </c>
      <c r="C3" s="12" t="s">
        <v>50</v>
      </c>
      <c r="D3" s="12" t="s">
        <v>51</v>
      </c>
      <c r="E3" s="12" t="s">
        <v>52</v>
      </c>
      <c r="F3" s="13" t="n">
        <f aca="false">AVERAGEIFS('Sales Master'!$E$2:$E$1054,'Sales Master'!$A$2:$A$1054,"&gt;="&amp;D3,'Sales Master'!$A$2:$A$1054,"&lt;="&amp;E3)</f>
        <v>39.1375128869035</v>
      </c>
      <c r="G3" s="14" t="n">
        <f aca="false">AVERAGEIFS('Sales Master'!$D$2:$D$1054,'Sales Master'!$A$2:$A$1054,"&gt;="&amp;D3,'Sales Master'!$A$2:$A$1054,"&lt;="&amp;E3)</f>
        <v>1339.42857142857</v>
      </c>
      <c r="H3" s="13" t="n">
        <f aca="false">AVERAGEIFS('Sales Master'!$E$2:$E$1054,'Sales Master'!$A$2:$A$1054,"&gt;="&amp;B3,'Sales Master'!$A$2:$A$1054,"&lt;="&amp;C3)</f>
        <v>33.3963490381989</v>
      </c>
      <c r="I3" s="14" t="n">
        <f aca="false">AVERAGEIFS('Sales Master'!$D$2:$D$1054,'Sales Master'!$A$2:$A$1054,"&gt;="&amp;B3,'Sales Master'!$A$2:$A$1054,"&lt;="&amp;C3)</f>
        <v>8089.35714285714</v>
      </c>
      <c r="J3" s="16" t="n">
        <f aca="false">(H3-F3)/F3</f>
        <v>-0.146692097305595</v>
      </c>
      <c r="K3" s="16" t="n">
        <f aca="false">(I3-G3)/G3</f>
        <v>5.03940912969283</v>
      </c>
      <c r="L3" s="15" t="n">
        <f aca="false">K3/J3</f>
        <v>-34.3536510981537</v>
      </c>
      <c r="M3" s="14" t="n">
        <f aca="false">SUMIFS('Sales Master'!$G$2:$G$1054,'Sales Master'!$A$2:$A$1054,"&gt;="&amp;D3,'Sales Master'!$A$2:$A$1054,"&lt;="&amp;E3)</f>
        <v>39435.964115162</v>
      </c>
      <c r="N3" s="14" t="n">
        <f aca="false">SUMIFS('Sales Master'!$G$2:$G$1054,'Sales Master'!$A$2:$A$1054,"&gt;="&amp;B3,'Sales Master'!$A$2:$A$1054,"&lt;="&amp;C3)</f>
        <v>-515054.191314458</v>
      </c>
    </row>
    <row r="4" customFormat="false" ht="15" hidden="false" customHeight="true" outlineLevel="0" collapsed="false">
      <c r="A4" s="17" t="n">
        <v>3</v>
      </c>
      <c r="B4" s="12" t="s">
        <v>53</v>
      </c>
      <c r="C4" s="12" t="s">
        <v>54</v>
      </c>
      <c r="D4" s="12" t="s">
        <v>55</v>
      </c>
      <c r="E4" s="12" t="s">
        <v>56</v>
      </c>
      <c r="F4" s="13" t="n">
        <f aca="false">AVERAGEIFS('Sales Master'!$E$2:$E$1054,'Sales Master'!$A$2:$A$1054,"&gt;="&amp;D4,'Sales Master'!$A$2:$A$1054,"&lt;="&amp;E4)</f>
        <v>35.4164345162713</v>
      </c>
      <c r="G4" s="14" t="n">
        <f aca="false">AVERAGEIFS('Sales Master'!$D$2:$D$1054,'Sales Master'!$A$2:$A$1054,"&gt;="&amp;D4,'Sales Master'!$A$2:$A$1054,"&lt;="&amp;E4)</f>
        <v>5250.07142857143</v>
      </c>
      <c r="H4" s="13" t="n">
        <f aca="false">AVERAGEIFS('Sales Master'!$E$2:$E$1054,'Sales Master'!$A$2:$A$1054,"&gt;="&amp;B4,'Sales Master'!$A$2:$A$1054,"&lt;="&amp;C4)</f>
        <v>33.3920578725498</v>
      </c>
      <c r="I4" s="14" t="n">
        <f aca="false">AVERAGEIFS('Sales Master'!$D$2:$D$1054,'Sales Master'!$A$2:$A$1054,"&gt;="&amp;B4,'Sales Master'!$A$2:$A$1054,"&lt;="&amp;C4)</f>
        <v>8653.64285714286</v>
      </c>
      <c r="J4" s="16" t="n">
        <f aca="false">(H4-F4)/F4</f>
        <v>-0.0571592446097689</v>
      </c>
      <c r="K4" s="16" t="n">
        <f aca="false">(I4-G4)/G4</f>
        <v>0.648290499448987</v>
      </c>
      <c r="L4" s="15" t="n">
        <f aca="false">K4/J4</f>
        <v>-11.3418311224181</v>
      </c>
      <c r="M4" s="14" t="n">
        <f aca="false">SUMIFS('Sales Master'!$G$2:$G$1054,'Sales Master'!$A$2:$A$1054,"&gt;="&amp;D4,'Sales Master'!$A$2:$A$1054,"&lt;="&amp;E4)</f>
        <v>-106753.183490862</v>
      </c>
      <c r="N4" s="14" t="n">
        <f aca="false">SUMIFS('Sales Master'!$G$2:$G$1054,'Sales Master'!$A$2:$A$1054,"&gt;="&amp;B4,'Sales Master'!$A$2:$A$1054,"&lt;="&amp;C4)</f>
        <v>-328474.406658133</v>
      </c>
    </row>
    <row r="6" customFormat="false" ht="15" hidden="false" customHeight="true" outlineLevel="0" collapsed="false">
      <c r="A6" s="22" t="s">
        <v>57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customFormat="false" ht="60" hidden="false" customHeight="true" outlineLevel="0" collapsed="false">
      <c r="A7" s="23" t="s">
        <v>58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customFormat="false" ht="15" hidden="false" customHeight="true" outlineLevel="0" collapsed="false">
      <c r="A8" s="24" t="s">
        <v>59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</sheetData>
  <mergeCells count="3">
    <mergeCell ref="A6:L6"/>
    <mergeCell ref="A7:L7"/>
    <mergeCell ref="A8: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12"/>
    <col collapsed="false" customWidth="true" hidden="false" outlineLevel="0" max="2" min="2" style="10" width="18"/>
    <col collapsed="false" customWidth="true" hidden="false" outlineLevel="0" max="3" min="3" style="10" width="20"/>
    <col collapsed="false" customWidth="true" hidden="false" outlineLevel="0" max="4" min="4" style="10" width="16"/>
    <col collapsed="false" customWidth="true" hidden="false" outlineLevel="0" max="5" min="5" style="10" width="18"/>
    <col collapsed="false" customWidth="true" hidden="false" outlineLevel="0" max="6" min="6" style="10" width="14"/>
    <col collapsed="false" customWidth="true" hidden="false" outlineLevel="0" max="7" min="7" style="10" width="16"/>
  </cols>
  <sheetData>
    <row r="1" customFormat="false" ht="31.5" hidden="false" customHeight="true" outlineLevel="0" collapsed="false">
      <c r="A1" s="11" t="s">
        <v>60</v>
      </c>
      <c r="B1" s="11" t="s">
        <v>1</v>
      </c>
      <c r="C1" s="11" t="s">
        <v>2</v>
      </c>
      <c r="D1" s="11" t="s">
        <v>4</v>
      </c>
      <c r="E1" s="11" t="s">
        <v>3</v>
      </c>
      <c r="F1" s="11" t="s">
        <v>16</v>
      </c>
      <c r="G1" s="11" t="s">
        <v>61</v>
      </c>
    </row>
    <row r="2" customFormat="false" ht="15" hidden="false" customHeight="true" outlineLevel="0" collapsed="false">
      <c r="A2" s="25" t="n">
        <v>41609</v>
      </c>
      <c r="B2" s="13" t="n">
        <f aca="false">SUMIFS('Sales Master'!$B$2:$B$1054,'Sales Master'!$A$2:$A$1054,"&gt;="&amp;A2,'Sales Master'!$A$2:$A$1054,"&lt;="&amp;DATE(YEAR(A2),MONTH(A2)+1,1)-1)</f>
        <v>524283.452433713</v>
      </c>
      <c r="C2" s="13" t="n">
        <f aca="false">SUMIFS('Sales Master'!$C$2:$C$1054,'Sales Master'!$A$2:$A$1054,"&gt;="&amp;A2,'Sales Master'!$A$2:$A$1054,"&lt;="&amp;DATE(YEAR(A2),MONTH(A2)+1,1)-1)</f>
        <v>537065.741496731</v>
      </c>
      <c r="D2" s="14" t="n">
        <f aca="false">SUMIFS('Sales Master'!$D$2:$D$1054,'Sales Master'!$A$2:$A$1054,"&gt;="&amp;A2,'Sales Master'!$A$2:$A$1054,"&lt;="&amp;DATE(YEAR(A2),MONTH(A2)+1,1)-1)</f>
        <v>16095</v>
      </c>
      <c r="E2" s="13" t="n">
        <f aca="false">B2-C2</f>
        <v>-12782.289063018</v>
      </c>
      <c r="F2" s="16" t="n">
        <f aca="false">E2/B2</f>
        <v>-0.0243804930399442</v>
      </c>
      <c r="G2" s="13" t="n">
        <f aca="false">B2/D2</f>
        <v>32.5743058362046</v>
      </c>
    </row>
    <row r="3" customFormat="false" ht="15" hidden="false" customHeight="true" outlineLevel="0" collapsed="false">
      <c r="A3" s="25" t="n">
        <v>41640</v>
      </c>
      <c r="B3" s="13" t="n">
        <f aca="false">SUMIFS('Sales Master'!$B$2:$B$1054,'Sales Master'!$A$2:$A$1054,"&gt;="&amp;A3,'Sales Master'!$A$2:$A$1054,"&lt;="&amp;DATE(YEAR(A3),MONTH(A3)+1,1)-1)</f>
        <v>4008180.48884024</v>
      </c>
      <c r="C3" s="13" t="n">
        <f aca="false">SUMIFS('Sales Master'!$C$2:$C$1054,'Sales Master'!$A$2:$A$1054,"&gt;="&amp;A3,'Sales Master'!$A$2:$A$1054,"&lt;="&amp;DATE(YEAR(A3),MONTH(A3)+1,1)-1)</f>
        <v>3995719.8434369</v>
      </c>
      <c r="D3" s="14" t="n">
        <f aca="false">SUMIFS('Sales Master'!$D$2:$D$1054,'Sales Master'!$A$2:$A$1054,"&gt;="&amp;A3,'Sales Master'!$A$2:$A$1054,"&lt;="&amp;DATE(YEAR(A3),MONTH(A3)+1,1)-1)</f>
        <v>119965</v>
      </c>
      <c r="E3" s="13" t="n">
        <f aca="false">B3-C3</f>
        <v>12460.6454033363</v>
      </c>
      <c r="F3" s="16" t="n">
        <f aca="false">E3/B3</f>
        <v>0.00310880346781533</v>
      </c>
      <c r="G3" s="13" t="n">
        <f aca="false">B3/D3</f>
        <v>33.4112490212998</v>
      </c>
    </row>
    <row r="4" customFormat="false" ht="15" hidden="false" customHeight="true" outlineLevel="0" collapsed="false">
      <c r="A4" s="25" t="n">
        <v>41671</v>
      </c>
      <c r="B4" s="13" t="n">
        <f aca="false">SUMIFS('Sales Master'!$B$2:$B$1054,'Sales Master'!$A$2:$A$1054,"&gt;="&amp;A4,'Sales Master'!$A$2:$A$1054,"&lt;="&amp;DATE(YEAR(A4),MONTH(A4)+1,1)-1)</f>
        <v>5780487.17532102</v>
      </c>
      <c r="C4" s="13" t="n">
        <f aca="false">SUMIFS('Sales Master'!$C$2:$C$1054,'Sales Master'!$A$2:$A$1054,"&gt;="&amp;A4,'Sales Master'!$A$2:$A$1054,"&lt;="&amp;DATE(YEAR(A4),MONTH(A4)+1,1)-1)</f>
        <v>5913478.56087284</v>
      </c>
      <c r="D4" s="14" t="n">
        <f aca="false">SUMIFS('Sales Master'!$D$2:$D$1054,'Sales Master'!$A$2:$A$1054,"&gt;="&amp;A4,'Sales Master'!$A$2:$A$1054,"&lt;="&amp;DATE(YEAR(A4),MONTH(A4)+1,1)-1)</f>
        <v>178035</v>
      </c>
      <c r="E4" s="13" t="n">
        <f aca="false">B4-C4</f>
        <v>-132991.385551817</v>
      </c>
      <c r="F4" s="16" t="n">
        <f aca="false">E4/B4</f>
        <v>-0.0230069510610809</v>
      </c>
      <c r="G4" s="13" t="n">
        <f aca="false">B4/D4</f>
        <v>32.4682628433792</v>
      </c>
    </row>
    <row r="5" customFormat="false" ht="15" hidden="false" customHeight="true" outlineLevel="0" collapsed="false">
      <c r="A5" s="25" t="n">
        <v>41699</v>
      </c>
      <c r="B5" s="13" t="n">
        <f aca="false">SUMIFS('Sales Master'!$B$2:$B$1054,'Sales Master'!$A$2:$A$1054,"&gt;="&amp;A5,'Sales Master'!$A$2:$A$1054,"&lt;="&amp;DATE(YEAR(A5),MONTH(A5)+1,1)-1)</f>
        <v>8279517.17612846</v>
      </c>
      <c r="C5" s="13" t="n">
        <f aca="false">SUMIFS('Sales Master'!$C$2:$C$1054,'Sales Master'!$A$2:$A$1054,"&gt;="&amp;A5,'Sales Master'!$A$2:$A$1054,"&lt;="&amp;DATE(YEAR(A5),MONTH(A5)+1,1)-1)</f>
        <v>8415654.01939286</v>
      </c>
      <c r="D5" s="14" t="n">
        <f aca="false">SUMIFS('Sales Master'!$D$2:$D$1054,'Sales Master'!$A$2:$A$1054,"&gt;="&amp;A5,'Sales Master'!$A$2:$A$1054,"&lt;="&amp;DATE(YEAR(A5),MONTH(A5)+1,1)-1)</f>
        <v>252836</v>
      </c>
      <c r="E5" s="13" t="n">
        <f aca="false">B5-C5</f>
        <v>-136136.843264404</v>
      </c>
      <c r="F5" s="16" t="n">
        <f aca="false">E5/B5</f>
        <v>-0.0164426065395352</v>
      </c>
      <c r="G5" s="13" t="n">
        <f aca="false">B5/D5</f>
        <v>32.74659137199</v>
      </c>
    </row>
    <row r="6" customFormat="false" ht="15" hidden="false" customHeight="true" outlineLevel="0" collapsed="false">
      <c r="A6" s="25" t="n">
        <v>41730</v>
      </c>
      <c r="B6" s="13" t="n">
        <f aca="false">SUMIFS('Sales Master'!$B$2:$B$1054,'Sales Master'!$A$2:$A$1054,"&gt;="&amp;A6,'Sales Master'!$A$2:$A$1054,"&lt;="&amp;DATE(YEAR(A6),MONTH(A6)+1,1)-1)</f>
        <v>6435743.27385559</v>
      </c>
      <c r="C6" s="13" t="n">
        <f aca="false">SUMIFS('Sales Master'!$C$2:$C$1054,'Sales Master'!$A$2:$A$1054,"&gt;="&amp;A6,'Sales Master'!$A$2:$A$1054,"&lt;="&amp;DATE(YEAR(A6),MONTH(A6)+1,1)-1)</f>
        <v>6479643.62514661</v>
      </c>
      <c r="D6" s="14" t="n">
        <f aca="false">SUMIFS('Sales Master'!$D$2:$D$1054,'Sales Master'!$A$2:$A$1054,"&gt;="&amp;A6,'Sales Master'!$A$2:$A$1054,"&lt;="&amp;DATE(YEAR(A6),MONTH(A6)+1,1)-1)</f>
        <v>190091</v>
      </c>
      <c r="E6" s="13" t="n">
        <f aca="false">B6-C6</f>
        <v>-43900.3512910213</v>
      </c>
      <c r="F6" s="16" t="n">
        <f aca="false">E6/B6</f>
        <v>-0.00682133351548702</v>
      </c>
      <c r="G6" s="13" t="n">
        <f aca="false">B6/D6</f>
        <v>33.8561177218048</v>
      </c>
    </row>
    <row r="7" customFormat="false" ht="15" hidden="false" customHeight="true" outlineLevel="0" collapsed="false">
      <c r="A7" s="25" t="n">
        <v>41760</v>
      </c>
      <c r="B7" s="13" t="n">
        <f aca="false">SUMIFS('Sales Master'!$B$2:$B$1054,'Sales Master'!$A$2:$A$1054,"&gt;="&amp;A7,'Sales Master'!$A$2:$A$1054,"&lt;="&amp;DATE(YEAR(A7),MONTH(A7)+1,1)-1)</f>
        <v>7694906.15369268</v>
      </c>
      <c r="C7" s="13" t="n">
        <f aca="false">SUMIFS('Sales Master'!$C$2:$C$1054,'Sales Master'!$A$2:$A$1054,"&gt;="&amp;A7,'Sales Master'!$A$2:$A$1054,"&lt;="&amp;DATE(YEAR(A7),MONTH(A7)+1,1)-1)</f>
        <v>8017240.4173001</v>
      </c>
      <c r="D7" s="14" t="n">
        <f aca="false">SUMIFS('Sales Master'!$D$2:$D$1054,'Sales Master'!$A$2:$A$1054,"&gt;="&amp;A7,'Sales Master'!$A$2:$A$1054,"&lt;="&amp;DATE(YEAR(A7),MONTH(A7)+1,1)-1)</f>
        <v>235793</v>
      </c>
      <c r="E7" s="13" t="n">
        <f aca="false">B7-C7</f>
        <v>-322334.263607426</v>
      </c>
      <c r="F7" s="16" t="n">
        <f aca="false">E7/B7</f>
        <v>-0.0418893040628887</v>
      </c>
      <c r="G7" s="13" t="n">
        <f aca="false">B7/D7</f>
        <v>32.6341585784679</v>
      </c>
    </row>
    <row r="8" customFormat="false" ht="15" hidden="false" customHeight="true" outlineLevel="0" collapsed="false">
      <c r="A8" s="25" t="n">
        <v>41791</v>
      </c>
      <c r="B8" s="13" t="n">
        <f aca="false">SUMIFS('Sales Master'!$B$2:$B$1054,'Sales Master'!$A$2:$A$1054,"&gt;="&amp;A8,'Sales Master'!$A$2:$A$1054,"&lt;="&amp;DATE(YEAR(A8),MONTH(A8)+1,1)-1)</f>
        <v>6456943.64663631</v>
      </c>
      <c r="C8" s="13" t="n">
        <f aca="false">SUMIFS('Sales Master'!$C$2:$C$1054,'Sales Master'!$A$2:$A$1054,"&gt;="&amp;A8,'Sales Master'!$A$2:$A$1054,"&lt;="&amp;DATE(YEAR(A8),MONTH(A8)+1,1)-1)</f>
        <v>6645843.65700643</v>
      </c>
      <c r="D8" s="14" t="n">
        <f aca="false">SUMIFS('Sales Master'!$D$2:$D$1054,'Sales Master'!$A$2:$A$1054,"&gt;="&amp;A8,'Sales Master'!$A$2:$A$1054,"&lt;="&amp;DATE(YEAR(A8),MONTH(A8)+1,1)-1)</f>
        <v>198857</v>
      </c>
      <c r="E8" s="13" t="n">
        <f aca="false">B8-C8</f>
        <v>-188900.010370127</v>
      </c>
      <c r="F8" s="16" t="n">
        <f aca="false">E8/B8</f>
        <v>-0.0292553289463093</v>
      </c>
      <c r="G8" s="13" t="n">
        <f aca="false">B8/D8</f>
        <v>32.4702859171983</v>
      </c>
    </row>
    <row r="9" customFormat="false" ht="15" hidden="false" customHeight="true" outlineLevel="0" collapsed="false">
      <c r="A9" s="25" t="n">
        <v>41821</v>
      </c>
      <c r="B9" s="13" t="n">
        <f aca="false">SUMIFS('Sales Master'!$B$2:$B$1054,'Sales Master'!$A$2:$A$1054,"&gt;="&amp;A9,'Sales Master'!$A$2:$A$1054,"&lt;="&amp;DATE(YEAR(A9),MONTH(A9)+1,1)-1)</f>
        <v>4933710.80070922</v>
      </c>
      <c r="C9" s="13" t="n">
        <f aca="false">SUMIFS('Sales Master'!$C$2:$C$1054,'Sales Master'!$A$2:$A$1054,"&gt;="&amp;A9,'Sales Master'!$A$2:$A$1054,"&lt;="&amp;DATE(YEAR(A9),MONTH(A9)+1,1)-1)</f>
        <v>5004894.90193203</v>
      </c>
      <c r="D9" s="14" t="n">
        <f aca="false">SUMIFS('Sales Master'!$D$2:$D$1054,'Sales Master'!$A$2:$A$1054,"&gt;="&amp;A9,'Sales Master'!$A$2:$A$1054,"&lt;="&amp;DATE(YEAR(A9),MONTH(A9)+1,1)-1)</f>
        <v>147449</v>
      </c>
      <c r="E9" s="13" t="n">
        <f aca="false">B9-C9</f>
        <v>-71184.1012228066</v>
      </c>
      <c r="F9" s="16" t="n">
        <f aca="false">E9/B9</f>
        <v>-0.0144281057601864</v>
      </c>
      <c r="G9" s="13" t="n">
        <f aca="false">B9/D9</f>
        <v>33.4604561625323</v>
      </c>
    </row>
    <row r="10" customFormat="false" ht="15" hidden="false" customHeight="true" outlineLevel="0" collapsed="false">
      <c r="A10" s="25" t="n">
        <v>41852</v>
      </c>
      <c r="B10" s="13" t="n">
        <f aca="false">SUMIFS('Sales Master'!$B$2:$B$1054,'Sales Master'!$A$2:$A$1054,"&gt;="&amp;A10,'Sales Master'!$A$2:$A$1054,"&lt;="&amp;DATE(YEAR(A10),MONTH(A10)+1,1)-1)</f>
        <v>10010378.2877578</v>
      </c>
      <c r="C10" s="13" t="n">
        <f aca="false">SUMIFS('Sales Master'!$C$2:$C$1054,'Sales Master'!$A$2:$A$1054,"&gt;="&amp;A10,'Sales Master'!$A$2:$A$1054,"&lt;="&amp;DATE(YEAR(A10),MONTH(A10)+1,1)-1)</f>
        <v>10524432.4247241</v>
      </c>
      <c r="D10" s="14" t="n">
        <f aca="false">SUMIFS('Sales Master'!$D$2:$D$1054,'Sales Master'!$A$2:$A$1054,"&gt;="&amp;A10,'Sales Master'!$A$2:$A$1054,"&lt;="&amp;DATE(YEAR(A10),MONTH(A10)+1,1)-1)</f>
        <v>310572</v>
      </c>
      <c r="E10" s="13" t="n">
        <f aca="false">B10-C10</f>
        <v>-514054.136966253</v>
      </c>
      <c r="F10" s="16" t="n">
        <f aca="false">E10/B10</f>
        <v>-0.0513521189898403</v>
      </c>
      <c r="G10" s="13" t="n">
        <f aca="false">B10/D10</f>
        <v>32.2320694967924</v>
      </c>
    </row>
    <row r="11" customFormat="false" ht="15" hidden="false" customHeight="true" outlineLevel="0" collapsed="false">
      <c r="A11" s="25" t="n">
        <v>41883</v>
      </c>
      <c r="B11" s="13" t="n">
        <f aca="false">SUMIFS('Sales Master'!$B$2:$B$1054,'Sales Master'!$A$2:$A$1054,"&gt;="&amp;A11,'Sales Master'!$A$2:$A$1054,"&lt;="&amp;DATE(YEAR(A11),MONTH(A11)+1,1)-1)</f>
        <v>7643452.6856599</v>
      </c>
      <c r="C11" s="13" t="n">
        <f aca="false">SUMIFS('Sales Master'!$C$2:$C$1054,'Sales Master'!$A$2:$A$1054,"&gt;="&amp;A11,'Sales Master'!$A$2:$A$1054,"&lt;="&amp;DATE(YEAR(A11),MONTH(A11)+1,1)-1)</f>
        <v>8193560.0391897</v>
      </c>
      <c r="D11" s="14" t="n">
        <f aca="false">SUMIFS('Sales Master'!$D$2:$D$1054,'Sales Master'!$A$2:$A$1054,"&gt;="&amp;A11,'Sales Master'!$A$2:$A$1054,"&lt;="&amp;DATE(YEAR(A11),MONTH(A11)+1,1)-1)</f>
        <v>237742</v>
      </c>
      <c r="E11" s="13" t="n">
        <f aca="false">B11-C11</f>
        <v>-550107.353529805</v>
      </c>
      <c r="F11" s="16" t="n">
        <f aca="false">E11/B11</f>
        <v>-0.0719710549869534</v>
      </c>
      <c r="G11" s="13" t="n">
        <f aca="false">B11/D11</f>
        <v>32.150199315476</v>
      </c>
    </row>
    <row r="12" customFormat="false" ht="15" hidden="false" customHeight="true" outlineLevel="0" collapsed="false">
      <c r="A12" s="25" t="n">
        <v>41913</v>
      </c>
      <c r="B12" s="13" t="n">
        <f aca="false">SUMIFS('Sales Master'!$B$2:$B$1054,'Sales Master'!$A$2:$A$1054,"&gt;="&amp;A12,'Sales Master'!$A$2:$A$1054,"&lt;="&amp;DATE(YEAR(A12),MONTH(A12)+1,1)-1)</f>
        <v>5924683.38116296</v>
      </c>
      <c r="C12" s="13" t="n">
        <f aca="false">SUMIFS('Sales Master'!$C$2:$C$1054,'Sales Master'!$A$2:$A$1054,"&gt;="&amp;A12,'Sales Master'!$A$2:$A$1054,"&lt;="&amp;DATE(YEAR(A12),MONTH(A12)+1,1)-1)</f>
        <v>6038461.31730976</v>
      </c>
      <c r="D12" s="14" t="n">
        <f aca="false">SUMIFS('Sales Master'!$D$2:$D$1054,'Sales Master'!$A$2:$A$1054,"&gt;="&amp;A12,'Sales Master'!$A$2:$A$1054,"&lt;="&amp;DATE(YEAR(A12),MONTH(A12)+1,1)-1)</f>
        <v>171709</v>
      </c>
      <c r="E12" s="13" t="n">
        <f aca="false">B12-C12</f>
        <v>-113777.936146796</v>
      </c>
      <c r="F12" s="16" t="n">
        <f aca="false">E12/B12</f>
        <v>-0.0192040534197225</v>
      </c>
      <c r="G12" s="13" t="n">
        <f aca="false">B12/D12</f>
        <v>34.5042099200564</v>
      </c>
    </row>
    <row r="13" customFormat="false" ht="15" hidden="false" customHeight="true" outlineLevel="0" collapsed="false">
      <c r="A13" s="25" t="n">
        <v>41944</v>
      </c>
      <c r="B13" s="13" t="n">
        <f aca="false">SUMIFS('Sales Master'!$B$2:$B$1054,'Sales Master'!$A$2:$A$1054,"&gt;="&amp;A13,'Sales Master'!$A$2:$A$1054,"&lt;="&amp;DATE(YEAR(A13),MONTH(A13)+1,1)-1)</f>
        <v>2631353.34311266</v>
      </c>
      <c r="C13" s="13" t="n">
        <f aca="false">SUMIFS('Sales Master'!$C$2:$C$1054,'Sales Master'!$A$2:$A$1054,"&gt;="&amp;A13,'Sales Master'!$A$2:$A$1054,"&lt;="&amp;DATE(YEAR(A13),MONTH(A13)+1,1)-1)</f>
        <v>2517124.83548639</v>
      </c>
      <c r="D13" s="14" t="n">
        <f aca="false">SUMIFS('Sales Master'!$D$2:$D$1054,'Sales Master'!$A$2:$A$1054,"&gt;="&amp;A13,'Sales Master'!$A$2:$A$1054,"&lt;="&amp;DATE(YEAR(A13),MONTH(A13)+1,1)-1)</f>
        <v>68569</v>
      </c>
      <c r="E13" s="13" t="n">
        <f aca="false">B13-C13</f>
        <v>114228.507626263</v>
      </c>
      <c r="F13" s="16" t="n">
        <f aca="false">E13/B13</f>
        <v>0.0434105544681967</v>
      </c>
      <c r="G13" s="13" t="n">
        <f aca="false">B13/D13</f>
        <v>38.375262044257</v>
      </c>
    </row>
    <row r="14" customFormat="false" ht="15" hidden="false" customHeight="true" outlineLevel="0" collapsed="false">
      <c r="A14" s="25" t="n">
        <v>41974</v>
      </c>
      <c r="B14" s="13" t="n">
        <f aca="false">SUMIFS('Sales Master'!$B$2:$B$1054,'Sales Master'!$A$2:$A$1054,"&gt;="&amp;A14,'Sales Master'!$A$2:$A$1054,"&lt;="&amp;DATE(YEAR(A14),MONTH(A14)+1,1)-1)</f>
        <v>5615619.29882374</v>
      </c>
      <c r="C14" s="13" t="n">
        <f aca="false">SUMIFS('Sales Master'!$C$2:$C$1054,'Sales Master'!$A$2:$A$1054,"&gt;="&amp;A14,'Sales Master'!$A$2:$A$1054,"&lt;="&amp;DATE(YEAR(A14),MONTH(A14)+1,1)-1)</f>
        <v>5934796.0592754</v>
      </c>
      <c r="D14" s="14" t="n">
        <f aca="false">SUMIFS('Sales Master'!$D$2:$D$1054,'Sales Master'!$A$2:$A$1054,"&gt;="&amp;A14,'Sales Master'!$A$2:$A$1054,"&lt;="&amp;DATE(YEAR(A14),MONTH(A14)+1,1)-1)</f>
        <v>142612</v>
      </c>
      <c r="E14" s="13" t="n">
        <f aca="false">B14-C14</f>
        <v>-319176.760451668</v>
      </c>
      <c r="F14" s="16" t="n">
        <f aca="false">E14/B14</f>
        <v>-0.0568373216678922</v>
      </c>
      <c r="G14" s="13" t="n">
        <f aca="false">B14/D14</f>
        <v>39.3769058622257</v>
      </c>
    </row>
    <row r="15" customFormat="false" ht="15" hidden="false" customHeight="true" outlineLevel="0" collapsed="false">
      <c r="A15" s="25" t="n">
        <v>42005</v>
      </c>
      <c r="B15" s="13" t="n">
        <f aca="false">SUMIFS('Sales Master'!$B$2:$B$1054,'Sales Master'!$A$2:$A$1054,"&gt;="&amp;A15,'Sales Master'!$A$2:$A$1054,"&lt;="&amp;DATE(YEAR(A15),MONTH(A15)+1,1)-1)</f>
        <v>3696191.50790871</v>
      </c>
      <c r="C15" s="13" t="n">
        <f aca="false">SUMIFS('Sales Master'!$C$2:$C$1054,'Sales Master'!$A$2:$A$1054,"&gt;="&amp;A15,'Sales Master'!$A$2:$A$1054,"&lt;="&amp;DATE(YEAR(A15),MONTH(A15)+1,1)-1)</f>
        <v>3851260.466481</v>
      </c>
      <c r="D15" s="14" t="n">
        <f aca="false">SUMIFS('Sales Master'!$D$2:$D$1054,'Sales Master'!$A$2:$A$1054,"&gt;="&amp;A15,'Sales Master'!$A$2:$A$1054,"&lt;="&amp;DATE(YEAR(A15),MONTH(A15)+1,1)-1)</f>
        <v>91740</v>
      </c>
      <c r="E15" s="13" t="n">
        <f aca="false">B15-C15</f>
        <v>-155068.958572287</v>
      </c>
      <c r="F15" s="16" t="n">
        <f aca="false">E15/B15</f>
        <v>-0.0419537132317108</v>
      </c>
      <c r="G15" s="13" t="n">
        <f aca="false">B15/D15</f>
        <v>40.2898572913528</v>
      </c>
    </row>
    <row r="16" customFormat="false" ht="15" hidden="false" customHeight="true" outlineLevel="0" collapsed="false">
      <c r="A16" s="25" t="n">
        <v>42036</v>
      </c>
      <c r="B16" s="13" t="n">
        <f aca="false">SUMIFS('Sales Master'!$B$2:$B$1054,'Sales Master'!$A$2:$A$1054,"&gt;="&amp;A16,'Sales Master'!$A$2:$A$1054,"&lt;="&amp;DATE(YEAR(A16),MONTH(A16)+1,1)-1)</f>
        <v>4901504.89312981</v>
      </c>
      <c r="C16" s="13" t="n">
        <f aca="false">SUMIFS('Sales Master'!$C$2:$C$1054,'Sales Master'!$A$2:$A$1054,"&gt;="&amp;A16,'Sales Master'!$A$2:$A$1054,"&lt;="&amp;DATE(YEAR(A16),MONTH(A16)+1,1)-1)</f>
        <v>5151756.26788877</v>
      </c>
      <c r="D16" s="14" t="n">
        <f aca="false">SUMIFS('Sales Master'!$D$2:$D$1054,'Sales Master'!$A$2:$A$1054,"&gt;="&amp;A16,'Sales Master'!$A$2:$A$1054,"&lt;="&amp;DATE(YEAR(A16),MONTH(A16)+1,1)-1)</f>
        <v>127753</v>
      </c>
      <c r="E16" s="13" t="n">
        <f aca="false">B16-C16</f>
        <v>-250251.374758963</v>
      </c>
      <c r="F16" s="16" t="n">
        <f aca="false">E16/B16</f>
        <v>-0.0510560287534809</v>
      </c>
      <c r="G16" s="13" t="n">
        <f aca="false">B16/D16</f>
        <v>38.367043381602</v>
      </c>
    </row>
    <row r="17" customFormat="false" ht="15" hidden="false" customHeight="true" outlineLevel="0" collapsed="false">
      <c r="A17" s="25" t="n">
        <v>42064</v>
      </c>
      <c r="B17" s="13" t="n">
        <f aca="false">SUMIFS('Sales Master'!$B$2:$B$1054,'Sales Master'!$A$2:$A$1054,"&gt;="&amp;A17,'Sales Master'!$A$2:$A$1054,"&lt;="&amp;DATE(YEAR(A17),MONTH(A17)+1,1)-1)</f>
        <v>5269353.15269244</v>
      </c>
      <c r="C17" s="13" t="n">
        <f aca="false">SUMIFS('Sales Master'!$C$2:$C$1054,'Sales Master'!$A$2:$A$1054,"&gt;="&amp;A17,'Sales Master'!$A$2:$A$1054,"&lt;="&amp;DATE(YEAR(A17),MONTH(A17)+1,1)-1)</f>
        <v>5599630.72008548</v>
      </c>
      <c r="D17" s="14" t="n">
        <f aca="false">SUMIFS('Sales Master'!$D$2:$D$1054,'Sales Master'!$A$2:$A$1054,"&gt;="&amp;A17,'Sales Master'!$A$2:$A$1054,"&lt;="&amp;DATE(YEAR(A17),MONTH(A17)+1,1)-1)</f>
        <v>136673</v>
      </c>
      <c r="E17" s="13" t="n">
        <f aca="false">B17-C17</f>
        <v>-330277.567393038</v>
      </c>
      <c r="F17" s="16" t="n">
        <f aca="false">E17/B17</f>
        <v>-0.0626789584646225</v>
      </c>
      <c r="G17" s="13" t="n">
        <f aca="false">B17/D17</f>
        <v>38.5544559107684</v>
      </c>
    </row>
    <row r="18" customFormat="false" ht="15" hidden="false" customHeight="true" outlineLevel="0" collapsed="false">
      <c r="A18" s="25" t="n">
        <v>42095</v>
      </c>
      <c r="B18" s="13" t="n">
        <f aca="false">SUMIFS('Sales Master'!$B$2:$B$1054,'Sales Master'!$A$2:$A$1054,"&gt;="&amp;A18,'Sales Master'!$A$2:$A$1054,"&lt;="&amp;DATE(YEAR(A18),MONTH(A18)+1,1)-1)</f>
        <v>5963993.96776295</v>
      </c>
      <c r="C18" s="13" t="n">
        <f aca="false">SUMIFS('Sales Master'!$C$2:$C$1054,'Sales Master'!$A$2:$A$1054,"&gt;="&amp;A18,'Sales Master'!$A$2:$A$1054,"&lt;="&amp;DATE(YEAR(A18),MONTH(A18)+1,1)-1)</f>
        <v>6286673.664407</v>
      </c>
      <c r="D18" s="14" t="n">
        <f aca="false">SUMIFS('Sales Master'!$D$2:$D$1054,'Sales Master'!$A$2:$A$1054,"&gt;="&amp;A18,'Sales Master'!$A$2:$A$1054,"&lt;="&amp;DATE(YEAR(A18),MONTH(A18)+1,1)-1)</f>
        <v>153702</v>
      </c>
      <c r="E18" s="13" t="n">
        <f aca="false">B18-C18</f>
        <v>-322679.696644058</v>
      </c>
      <c r="F18" s="16" t="n">
        <f aca="false">E18/B18</f>
        <v>-0.0541046316257581</v>
      </c>
      <c r="G18" s="13" t="n">
        <f aca="false">B18/D18</f>
        <v>38.8023185629526</v>
      </c>
    </row>
    <row r="19" customFormat="false" ht="15" hidden="false" customHeight="true" outlineLevel="0" collapsed="false">
      <c r="A19" s="25" t="n">
        <v>42125</v>
      </c>
      <c r="B19" s="13" t="n">
        <f aca="false">SUMIFS('Sales Master'!$B$2:$B$1054,'Sales Master'!$A$2:$A$1054,"&gt;="&amp;A19,'Sales Master'!$A$2:$A$1054,"&lt;="&amp;DATE(YEAR(A19),MONTH(A19)+1,1)-1)</f>
        <v>8384367.24115292</v>
      </c>
      <c r="C19" s="13" t="n">
        <f aca="false">SUMIFS('Sales Master'!$C$2:$C$1054,'Sales Master'!$A$2:$A$1054,"&gt;="&amp;A19,'Sales Master'!$A$2:$A$1054,"&lt;="&amp;DATE(YEAR(A19),MONTH(A19)+1,1)-1)</f>
        <v>8973701.89861591</v>
      </c>
      <c r="D19" s="14" t="n">
        <f aca="false">SUMIFS('Sales Master'!$D$2:$D$1054,'Sales Master'!$A$2:$A$1054,"&gt;="&amp;A19,'Sales Master'!$A$2:$A$1054,"&lt;="&amp;DATE(YEAR(A19),MONTH(A19)+1,1)-1)</f>
        <v>220775</v>
      </c>
      <c r="E19" s="13" t="n">
        <f aca="false">B19-C19</f>
        <v>-589334.657462988</v>
      </c>
      <c r="F19" s="16" t="n">
        <f aca="false">E19/B19</f>
        <v>-0.0702896999275463</v>
      </c>
      <c r="G19" s="13" t="n">
        <f aca="false">B19/D19</f>
        <v>37.9769776521478</v>
      </c>
    </row>
    <row r="20" customFormat="false" ht="15" hidden="false" customHeight="true" outlineLevel="0" collapsed="false">
      <c r="A20" s="25" t="n">
        <v>42156</v>
      </c>
      <c r="B20" s="13" t="n">
        <f aca="false">SUMIFS('Sales Master'!$B$2:$B$1054,'Sales Master'!$A$2:$A$1054,"&gt;="&amp;A20,'Sales Master'!$A$2:$A$1054,"&lt;="&amp;DATE(YEAR(A20),MONTH(A20)+1,1)-1)</f>
        <v>5332108.32336354</v>
      </c>
      <c r="C20" s="13" t="n">
        <f aca="false">SUMIFS('Sales Master'!$C$2:$C$1054,'Sales Master'!$A$2:$A$1054,"&gt;="&amp;A20,'Sales Master'!$A$2:$A$1054,"&lt;="&amp;DATE(YEAR(A20),MONTH(A20)+1,1)-1)</f>
        <v>5520925.3689568</v>
      </c>
      <c r="D20" s="14" t="n">
        <f aca="false">SUMIFS('Sales Master'!$D$2:$D$1054,'Sales Master'!$A$2:$A$1054,"&gt;="&amp;A20,'Sales Master'!$A$2:$A$1054,"&lt;="&amp;DATE(YEAR(A20),MONTH(A20)+1,1)-1)</f>
        <v>136581</v>
      </c>
      <c r="E20" s="13" t="n">
        <f aca="false">B20-C20</f>
        <v>-188817.045593255</v>
      </c>
      <c r="F20" s="16" t="n">
        <f aca="false">E20/B20</f>
        <v>-0.0354113296547111</v>
      </c>
      <c r="G20" s="13" t="n">
        <f aca="false">B20/D20</f>
        <v>39.0398981070833</v>
      </c>
    </row>
    <row r="21" customFormat="false" ht="15" hidden="false" customHeight="true" outlineLevel="0" collapsed="false">
      <c r="A21" s="25" t="n">
        <v>42186</v>
      </c>
      <c r="B21" s="13" t="n">
        <f aca="false">SUMIFS('Sales Master'!$B$2:$B$1054,'Sales Master'!$A$2:$A$1054,"&gt;="&amp;A21,'Sales Master'!$A$2:$A$1054,"&lt;="&amp;DATE(YEAR(A21),MONTH(A21)+1,1)-1)</f>
        <v>3677692.39405612</v>
      </c>
      <c r="C21" s="13" t="n">
        <f aca="false">SUMIFS('Sales Master'!$C$2:$C$1054,'Sales Master'!$A$2:$A$1054,"&gt;="&amp;A21,'Sales Master'!$A$2:$A$1054,"&lt;="&amp;DATE(YEAR(A21),MONTH(A21)+1,1)-1)</f>
        <v>3829188.56502237</v>
      </c>
      <c r="D21" s="14" t="n">
        <f aca="false">SUMIFS('Sales Master'!$D$2:$D$1054,'Sales Master'!$A$2:$A$1054,"&gt;="&amp;A21,'Sales Master'!$A$2:$A$1054,"&lt;="&amp;DATE(YEAR(A21),MONTH(A21)+1,1)-1)</f>
        <v>95600</v>
      </c>
      <c r="E21" s="13" t="n">
        <f aca="false">B21-C21</f>
        <v>-151496.170966255</v>
      </c>
      <c r="F21" s="16" t="n">
        <f aca="false">E21/B21</f>
        <v>-0.0411932686950935</v>
      </c>
      <c r="G21" s="13" t="n">
        <f aca="false">B21/D21</f>
        <v>38.4695857118841</v>
      </c>
    </row>
    <row r="22" customFormat="false" ht="15" hidden="false" customHeight="true" outlineLevel="0" collapsed="false">
      <c r="A22" s="25" t="n">
        <v>42217</v>
      </c>
      <c r="B22" s="13" t="n">
        <f aca="false">SUMIFS('Sales Master'!$B$2:$B$1054,'Sales Master'!$A$2:$A$1054,"&gt;="&amp;A22,'Sales Master'!$A$2:$A$1054,"&lt;="&amp;DATE(YEAR(A22),MONTH(A22)+1,1)-1)</f>
        <v>3934668.408063</v>
      </c>
      <c r="C22" s="13" t="n">
        <f aca="false">SUMIFS('Sales Master'!$C$2:$C$1054,'Sales Master'!$A$2:$A$1054,"&gt;="&amp;A22,'Sales Master'!$A$2:$A$1054,"&lt;="&amp;DATE(YEAR(A22),MONTH(A22)+1,1)-1)</f>
        <v>4210927.33489244</v>
      </c>
      <c r="D22" s="14" t="n">
        <f aca="false">SUMIFS('Sales Master'!$D$2:$D$1054,'Sales Master'!$A$2:$A$1054,"&gt;="&amp;A22,'Sales Master'!$A$2:$A$1054,"&lt;="&amp;DATE(YEAR(A22),MONTH(A22)+1,1)-1)</f>
        <v>108899</v>
      </c>
      <c r="E22" s="13" t="n">
        <f aca="false">B22-C22</f>
        <v>-276258.926829441</v>
      </c>
      <c r="F22" s="16" t="n">
        <f aca="false">E22/B22</f>
        <v>-0.0702114887911076</v>
      </c>
      <c r="G22" s="13" t="n">
        <f aca="false">B22/D22</f>
        <v>36.1313548155906</v>
      </c>
    </row>
    <row r="23" customFormat="false" ht="15" hidden="false" customHeight="true" outlineLevel="0" collapsed="false">
      <c r="A23" s="25" t="n">
        <v>42248</v>
      </c>
      <c r="B23" s="13" t="n">
        <f aca="false">SUMIFS('Sales Master'!$B$2:$B$1054,'Sales Master'!$A$2:$A$1054,"&gt;="&amp;A23,'Sales Master'!$A$2:$A$1054,"&lt;="&amp;DATE(YEAR(A23),MONTH(A23)+1,1)-1)</f>
        <v>4669899.85861668</v>
      </c>
      <c r="C23" s="13" t="n">
        <f aca="false">SUMIFS('Sales Master'!$C$2:$C$1054,'Sales Master'!$A$2:$A$1054,"&gt;="&amp;A23,'Sales Master'!$A$2:$A$1054,"&lt;="&amp;DATE(YEAR(A23),MONTH(A23)+1,1)-1)</f>
        <v>5024494.69493446</v>
      </c>
      <c r="D23" s="14" t="n">
        <f aca="false">SUMIFS('Sales Master'!$D$2:$D$1054,'Sales Master'!$A$2:$A$1054,"&gt;="&amp;A23,'Sales Master'!$A$2:$A$1054,"&lt;="&amp;DATE(YEAR(A23),MONTH(A23)+1,1)-1)</f>
        <v>134837</v>
      </c>
      <c r="E23" s="13" t="n">
        <f aca="false">B23-C23</f>
        <v>-354594.836317784</v>
      </c>
      <c r="F23" s="16" t="n">
        <f aca="false">E23/B23</f>
        <v>-0.0759320000542416</v>
      </c>
      <c r="G23" s="13" t="n">
        <f aca="false">B23/D23</f>
        <v>34.6336677515569</v>
      </c>
    </row>
    <row r="24" customFormat="false" ht="15" hidden="false" customHeight="true" outlineLevel="0" collapsed="false">
      <c r="A24" s="25" t="n">
        <v>42278</v>
      </c>
      <c r="B24" s="13" t="n">
        <f aca="false">SUMIFS('Sales Master'!$B$2:$B$1054,'Sales Master'!$A$2:$A$1054,"&gt;="&amp;A24,'Sales Master'!$A$2:$A$1054,"&lt;="&amp;DATE(YEAR(A24),MONTH(A24)+1,1)-1)</f>
        <v>4828975.07950143</v>
      </c>
      <c r="C24" s="13" t="n">
        <f aca="false">SUMIFS('Sales Master'!$C$2:$C$1054,'Sales Master'!$A$2:$A$1054,"&gt;="&amp;A24,'Sales Master'!$A$2:$A$1054,"&lt;="&amp;DATE(YEAR(A24),MONTH(A24)+1,1)-1)</f>
        <v>5175494.07748323</v>
      </c>
      <c r="D24" s="14" t="n">
        <f aca="false">SUMIFS('Sales Master'!$D$2:$D$1054,'Sales Master'!$A$2:$A$1054,"&gt;="&amp;A24,'Sales Master'!$A$2:$A$1054,"&lt;="&amp;DATE(YEAR(A24),MONTH(A24)+1,1)-1)</f>
        <v>135328</v>
      </c>
      <c r="E24" s="13" t="n">
        <f aca="false">B24-C24</f>
        <v>-346518.997981797</v>
      </c>
      <c r="F24" s="16" t="n">
        <f aca="false">E24/B24</f>
        <v>-0.0717582907919196</v>
      </c>
      <c r="G24" s="13" t="n">
        <f aca="false">B24/D24</f>
        <v>35.6834881140742</v>
      </c>
    </row>
    <row r="25" customFormat="false" ht="15" hidden="false" customHeight="true" outlineLevel="0" collapsed="false">
      <c r="A25" s="25" t="n">
        <v>42309</v>
      </c>
      <c r="B25" s="13" t="n">
        <f aca="false">SUMIFS('Sales Master'!$B$2:$B$1054,'Sales Master'!$A$2:$A$1054,"&gt;="&amp;A25,'Sales Master'!$A$2:$A$1054,"&lt;="&amp;DATE(YEAR(A25),MONTH(A25)+1,1)-1)</f>
        <v>6538148.88332874</v>
      </c>
      <c r="C25" s="13" t="n">
        <f aca="false">SUMIFS('Sales Master'!$C$2:$C$1054,'Sales Master'!$A$2:$A$1054,"&gt;="&amp;A25,'Sales Master'!$A$2:$A$1054,"&lt;="&amp;DATE(YEAR(A25),MONTH(A25)+1,1)-1)</f>
        <v>7138833.45466628</v>
      </c>
      <c r="D25" s="14" t="n">
        <f aca="false">SUMIFS('Sales Master'!$D$2:$D$1054,'Sales Master'!$A$2:$A$1054,"&gt;="&amp;A25,'Sales Master'!$A$2:$A$1054,"&lt;="&amp;DATE(YEAR(A25),MONTH(A25)+1,1)-1)</f>
        <v>185868</v>
      </c>
      <c r="E25" s="13" t="n">
        <f aca="false">B25-C25</f>
        <v>-600684.571337539</v>
      </c>
      <c r="F25" s="16" t="n">
        <f aca="false">E25/B25</f>
        <v>-0.0918737982350312</v>
      </c>
      <c r="G25" s="13" t="n">
        <f aca="false">B25/D25</f>
        <v>35.1763019095742</v>
      </c>
    </row>
    <row r="26" customFormat="false" ht="15" hidden="false" customHeight="true" outlineLevel="0" collapsed="false">
      <c r="A26" s="25" t="n">
        <v>42339</v>
      </c>
      <c r="B26" s="13" t="n">
        <f aca="false">SUMIFS('Sales Master'!$B$2:$B$1054,'Sales Master'!$A$2:$A$1054,"&gt;="&amp;A26,'Sales Master'!$A$2:$A$1054,"&lt;="&amp;DATE(YEAR(A26),MONTH(A26)+1,1)-1)</f>
        <v>6820689.67764691</v>
      </c>
      <c r="C26" s="13" t="n">
        <f aca="false">SUMIFS('Sales Master'!$C$2:$C$1054,'Sales Master'!$A$2:$A$1054,"&gt;="&amp;A26,'Sales Master'!$A$2:$A$1054,"&lt;="&amp;DATE(YEAR(A26),MONTH(A26)+1,1)-1)</f>
        <v>7154317.32055893</v>
      </c>
      <c r="D26" s="14" t="n">
        <f aca="false">SUMIFS('Sales Master'!$D$2:$D$1054,'Sales Master'!$A$2:$A$1054,"&gt;="&amp;A26,'Sales Master'!$A$2:$A$1054,"&lt;="&amp;DATE(YEAR(A26),MONTH(A26)+1,1)-1)</f>
        <v>187333</v>
      </c>
      <c r="E26" s="13" t="n">
        <f aca="false">B26-C26</f>
        <v>-333627.642912017</v>
      </c>
      <c r="F26" s="16" t="n">
        <f aca="false">E26/B26</f>
        <v>-0.0489140627531256</v>
      </c>
      <c r="G26" s="13" t="n">
        <f aca="false">B26/D26</f>
        <v>36.4094402889342</v>
      </c>
    </row>
    <row r="27" customFormat="false" ht="15" hidden="false" customHeight="true" outlineLevel="0" collapsed="false">
      <c r="A27" s="25" t="n">
        <v>42370</v>
      </c>
      <c r="B27" s="13" t="n">
        <f aca="false">SUMIFS('Sales Master'!$B$2:$B$1054,'Sales Master'!$A$2:$A$1054,"&gt;="&amp;A27,'Sales Master'!$A$2:$A$1054,"&lt;="&amp;DATE(YEAR(A27),MONTH(A27)+1,1)-1)</f>
        <v>5403090.50925758</v>
      </c>
      <c r="C27" s="13" t="n">
        <f aca="false">SUMIFS('Sales Master'!$C$2:$C$1054,'Sales Master'!$A$2:$A$1054,"&gt;="&amp;A27,'Sales Master'!$A$2:$A$1054,"&lt;="&amp;DATE(YEAR(A27),MONTH(A27)+1,1)-1)</f>
        <v>5657342.71533186</v>
      </c>
      <c r="D27" s="14" t="n">
        <f aca="false">SUMIFS('Sales Master'!$D$2:$D$1054,'Sales Master'!$A$2:$A$1054,"&gt;="&amp;A27,'Sales Master'!$A$2:$A$1054,"&lt;="&amp;DATE(YEAR(A27),MONTH(A27)+1,1)-1)</f>
        <v>150561</v>
      </c>
      <c r="E27" s="13" t="n">
        <f aca="false">B27-C27</f>
        <v>-254252.20607428</v>
      </c>
      <c r="F27" s="16" t="n">
        <f aca="false">E27/B27</f>
        <v>-0.0470568104751619</v>
      </c>
      <c r="G27" s="13" t="n">
        <f aca="false">B27/D27</f>
        <v>35.8863883027981</v>
      </c>
    </row>
    <row r="28" customFormat="false" ht="15" hidden="false" customHeight="true" outlineLevel="0" collapsed="false">
      <c r="A28" s="25" t="n">
        <v>42401</v>
      </c>
      <c r="B28" s="13" t="n">
        <f aca="false">SUMIFS('Sales Master'!$B$2:$B$1054,'Sales Master'!$A$2:$A$1054,"&gt;="&amp;A28,'Sales Master'!$A$2:$A$1054,"&lt;="&amp;DATE(YEAR(A28),MONTH(A28)+1,1)-1)</f>
        <v>4891882.308156</v>
      </c>
      <c r="C28" s="13" t="n">
        <f aca="false">SUMIFS('Sales Master'!$C$2:$C$1054,'Sales Master'!$A$2:$A$1054,"&gt;="&amp;A28,'Sales Master'!$A$2:$A$1054,"&lt;="&amp;DATE(YEAR(A28),MONTH(A28)+1,1)-1)</f>
        <v>4889303.64370913</v>
      </c>
      <c r="D28" s="14" t="n">
        <f aca="false">SUMIFS('Sales Master'!$D$2:$D$1054,'Sales Master'!$A$2:$A$1054,"&gt;="&amp;A28,'Sales Master'!$A$2:$A$1054,"&lt;="&amp;DATE(YEAR(A28),MONTH(A28)+1,1)-1)</f>
        <v>132990</v>
      </c>
      <c r="E28" s="13" t="n">
        <f aca="false">B28-C28</f>
        <v>2578.66444686987</v>
      </c>
      <c r="F28" s="16" t="n">
        <f aca="false">E28/B28</f>
        <v>0.000527131334000122</v>
      </c>
      <c r="G28" s="13" t="n">
        <f aca="false">B28/D28</f>
        <v>36.7838356880668</v>
      </c>
    </row>
    <row r="29" customFormat="false" ht="15" hidden="false" customHeight="true" outlineLevel="0" collapsed="false">
      <c r="A29" s="25" t="n">
        <v>42430</v>
      </c>
      <c r="B29" s="13" t="n">
        <f aca="false">SUMIFS('Sales Master'!$B$2:$B$1054,'Sales Master'!$A$2:$A$1054,"&gt;="&amp;A29,'Sales Master'!$A$2:$A$1054,"&lt;="&amp;DATE(YEAR(A29),MONTH(A29)+1,1)-1)</f>
        <v>2951856.0057579</v>
      </c>
      <c r="C29" s="13" t="n">
        <f aca="false">SUMIFS('Sales Master'!$C$2:$C$1054,'Sales Master'!$A$2:$A$1054,"&gt;="&amp;A29,'Sales Master'!$A$2:$A$1054,"&lt;="&amp;DATE(YEAR(A29),MONTH(A29)+1,1)-1)</f>
        <v>2917801.49127189</v>
      </c>
      <c r="D29" s="14" t="n">
        <f aca="false">SUMIFS('Sales Master'!$D$2:$D$1054,'Sales Master'!$A$2:$A$1054,"&gt;="&amp;A29,'Sales Master'!$A$2:$A$1054,"&lt;="&amp;DATE(YEAR(A29),MONTH(A29)+1,1)-1)</f>
        <v>74185</v>
      </c>
      <c r="E29" s="13" t="n">
        <f aca="false">B29-C29</f>
        <v>34054.514486006</v>
      </c>
      <c r="F29" s="16" t="n">
        <f aca="false">E29/B29</f>
        <v>0.0115366448836187</v>
      </c>
      <c r="G29" s="13" t="n">
        <f aca="false">B29/D29</f>
        <v>39.7904698491326</v>
      </c>
    </row>
    <row r="30" customFormat="false" ht="15" hidden="false" customHeight="true" outlineLevel="0" collapsed="false">
      <c r="A30" s="25" t="n">
        <v>42461</v>
      </c>
      <c r="B30" s="13" t="n">
        <f aca="false">SUMIFS('Sales Master'!$B$2:$B$1054,'Sales Master'!$A$2:$A$1054,"&gt;="&amp;A30,'Sales Master'!$A$2:$A$1054,"&lt;="&amp;DATE(YEAR(A30),MONTH(A30)+1,1)-1)</f>
        <v>6656880.17616495</v>
      </c>
      <c r="C30" s="13" t="n">
        <f aca="false">SUMIFS('Sales Master'!$C$2:$C$1054,'Sales Master'!$A$2:$A$1054,"&gt;="&amp;A30,'Sales Master'!$A$2:$A$1054,"&lt;="&amp;DATE(YEAR(A30),MONTH(A30)+1,1)-1)</f>
        <v>7127731.90523089</v>
      </c>
      <c r="D30" s="14" t="n">
        <f aca="false">SUMIFS('Sales Master'!$D$2:$D$1054,'Sales Master'!$A$2:$A$1054,"&gt;="&amp;A30,'Sales Master'!$A$2:$A$1054,"&lt;="&amp;DATE(YEAR(A30),MONTH(A30)+1,1)-1)</f>
        <v>190235</v>
      </c>
      <c r="E30" s="13" t="n">
        <f aca="false">B30-C30</f>
        <v>-470851.72906594</v>
      </c>
      <c r="F30" s="16" t="n">
        <f aca="false">E30/B30</f>
        <v>-0.0707315914671006</v>
      </c>
      <c r="G30" s="13" t="n">
        <f aca="false">B30/D30</f>
        <v>34.9929307233945</v>
      </c>
    </row>
    <row r="31" customFormat="false" ht="15" hidden="false" customHeight="true" outlineLevel="0" collapsed="false">
      <c r="A31" s="25" t="n">
        <v>42491</v>
      </c>
      <c r="B31" s="13" t="n">
        <f aca="false">SUMIFS('Sales Master'!$B$2:$B$1054,'Sales Master'!$A$2:$A$1054,"&gt;="&amp;A31,'Sales Master'!$A$2:$A$1054,"&lt;="&amp;DATE(YEAR(A31),MONTH(A31)+1,1)-1)</f>
        <v>5170231.85490041</v>
      </c>
      <c r="C31" s="13" t="n">
        <f aca="false">SUMIFS('Sales Master'!$C$2:$C$1054,'Sales Master'!$A$2:$A$1054,"&gt;="&amp;A31,'Sales Master'!$A$2:$A$1054,"&lt;="&amp;DATE(YEAR(A31),MONTH(A31)+1,1)-1)</f>
        <v>5338394.63197714</v>
      </c>
      <c r="D31" s="14" t="n">
        <f aca="false">SUMIFS('Sales Master'!$D$2:$D$1054,'Sales Master'!$A$2:$A$1054,"&gt;="&amp;A31,'Sales Master'!$A$2:$A$1054,"&lt;="&amp;DATE(YEAR(A31),MONTH(A31)+1,1)-1)</f>
        <v>146298</v>
      </c>
      <c r="E31" s="13" t="n">
        <f aca="false">B31-C31</f>
        <v>-168162.777076727</v>
      </c>
      <c r="F31" s="16" t="n">
        <f aca="false">E31/B31</f>
        <v>-0.0325251907063588</v>
      </c>
      <c r="G31" s="13" t="n">
        <f aca="false">B31/D31</f>
        <v>35.3404137780449</v>
      </c>
    </row>
    <row r="32" customFormat="false" ht="15" hidden="false" customHeight="true" outlineLevel="0" collapsed="false">
      <c r="A32" s="25" t="n">
        <v>42522</v>
      </c>
      <c r="B32" s="13" t="n">
        <f aca="false">SUMIFS('Sales Master'!$B$2:$B$1054,'Sales Master'!$A$2:$A$1054,"&gt;="&amp;A32,'Sales Master'!$A$2:$A$1054,"&lt;="&amp;DATE(YEAR(A32),MONTH(A32)+1,1)-1)</f>
        <v>6771134.9382742</v>
      </c>
      <c r="C32" s="13" t="n">
        <f aca="false">SUMIFS('Sales Master'!$C$2:$C$1054,'Sales Master'!$A$2:$A$1054,"&gt;="&amp;A32,'Sales Master'!$A$2:$A$1054,"&lt;="&amp;DATE(YEAR(A32),MONTH(A32)+1,1)-1)</f>
        <v>7168349.63120592</v>
      </c>
      <c r="D32" s="14" t="n">
        <f aca="false">SUMIFS('Sales Master'!$D$2:$D$1054,'Sales Master'!$A$2:$A$1054,"&gt;="&amp;A32,'Sales Master'!$A$2:$A$1054,"&lt;="&amp;DATE(YEAR(A32),MONTH(A32)+1,1)-1)</f>
        <v>197469</v>
      </c>
      <c r="E32" s="13" t="n">
        <f aca="false">B32-C32</f>
        <v>-397214.692931715</v>
      </c>
      <c r="F32" s="16" t="n">
        <f aca="false">E32/B32</f>
        <v>-0.0586629415235012</v>
      </c>
      <c r="G32" s="13" t="n">
        <f aca="false">B32/D32</f>
        <v>34.2896097021517</v>
      </c>
    </row>
    <row r="33" customFormat="false" ht="15" hidden="false" customHeight="true" outlineLevel="0" collapsed="false">
      <c r="A33" s="25" t="n">
        <v>42552</v>
      </c>
      <c r="B33" s="13" t="n">
        <f aca="false">SUMIFS('Sales Master'!$B$2:$B$1054,'Sales Master'!$A$2:$A$1054,"&gt;="&amp;A33,'Sales Master'!$A$2:$A$1054,"&lt;="&amp;DATE(YEAR(A33),MONTH(A33)+1,1)-1)</f>
        <v>3324825.43161598</v>
      </c>
      <c r="C33" s="13" t="n">
        <f aca="false">SUMIFS('Sales Master'!$C$2:$C$1054,'Sales Master'!$A$2:$A$1054,"&gt;="&amp;A33,'Sales Master'!$A$2:$A$1054,"&lt;="&amp;DATE(YEAR(A33),MONTH(A33)+1,1)-1)</f>
        <v>3268397.27257722</v>
      </c>
      <c r="D33" s="14" t="n">
        <f aca="false">SUMIFS('Sales Master'!$D$2:$D$1054,'Sales Master'!$A$2:$A$1054,"&gt;="&amp;A33,'Sales Master'!$A$2:$A$1054,"&lt;="&amp;DATE(YEAR(A33),MONTH(A33)+1,1)-1)</f>
        <v>90653</v>
      </c>
      <c r="E33" s="13" t="n">
        <f aca="false">B33-C33</f>
        <v>56428.159038756</v>
      </c>
      <c r="F33" s="16" t="n">
        <f aca="false">E33/B33</f>
        <v>0.01697176594662</v>
      </c>
      <c r="G33" s="13" t="n">
        <f aca="false">B33/D33</f>
        <v>36.6763971585714</v>
      </c>
    </row>
    <row r="34" customFormat="false" ht="15" hidden="false" customHeight="true" outlineLevel="0" collapsed="false">
      <c r="A34" s="25" t="n">
        <v>42583</v>
      </c>
      <c r="B34" s="13" t="n">
        <f aca="false">SUMIFS('Sales Master'!$B$2:$B$1054,'Sales Master'!$A$2:$A$1054,"&gt;="&amp;A34,'Sales Master'!$A$2:$A$1054,"&lt;="&amp;DATE(YEAR(A34),MONTH(A34)+1,1)-1)</f>
        <v>4343329.4138205</v>
      </c>
      <c r="C34" s="13" t="n">
        <f aca="false">SUMIFS('Sales Master'!$C$2:$C$1054,'Sales Master'!$A$2:$A$1054,"&gt;="&amp;A34,'Sales Master'!$A$2:$A$1054,"&lt;="&amp;DATE(YEAR(A34),MONTH(A34)+1,1)-1)</f>
        <v>4479787.65500536</v>
      </c>
      <c r="D34" s="14" t="n">
        <f aca="false">SUMIFS('Sales Master'!$D$2:$D$1054,'Sales Master'!$A$2:$A$1054,"&gt;="&amp;A34,'Sales Master'!$A$2:$A$1054,"&lt;="&amp;DATE(YEAR(A34),MONTH(A34)+1,1)-1)</f>
        <v>123621</v>
      </c>
      <c r="E34" s="13" t="n">
        <f aca="false">B34-C34</f>
        <v>-136458.241184861</v>
      </c>
      <c r="F34" s="16" t="n">
        <f aca="false">E34/B34</f>
        <v>-0.0314178889472787</v>
      </c>
      <c r="G34" s="13" t="n">
        <f aca="false">B34/D34</f>
        <v>35.1342362043706</v>
      </c>
    </row>
    <row r="35" customFormat="false" ht="15" hidden="false" customHeight="true" outlineLevel="0" collapsed="false">
      <c r="A35" s="25" t="n">
        <v>42614</v>
      </c>
      <c r="B35" s="13" t="n">
        <f aca="false">SUMIFS('Sales Master'!$B$2:$B$1054,'Sales Master'!$A$2:$A$1054,"&gt;="&amp;A35,'Sales Master'!$A$2:$A$1054,"&lt;="&amp;DATE(YEAR(A35),MONTH(A35)+1,1)-1)</f>
        <v>3259542.50174151</v>
      </c>
      <c r="C35" s="13" t="n">
        <f aca="false">SUMIFS('Sales Master'!$C$2:$C$1054,'Sales Master'!$A$2:$A$1054,"&gt;="&amp;A35,'Sales Master'!$A$2:$A$1054,"&lt;="&amp;DATE(YEAR(A35),MONTH(A35)+1,1)-1)</f>
        <v>3210197.28754177</v>
      </c>
      <c r="D35" s="14" t="n">
        <f aca="false">SUMIFS('Sales Master'!$D$2:$D$1054,'Sales Master'!$A$2:$A$1054,"&gt;="&amp;A35,'Sales Master'!$A$2:$A$1054,"&lt;="&amp;DATE(YEAR(A35),MONTH(A35)+1,1)-1)</f>
        <v>88672</v>
      </c>
      <c r="E35" s="13" t="n">
        <f aca="false">B35-C35</f>
        <v>49345.2141997428</v>
      </c>
      <c r="F35" s="16" t="n">
        <f aca="false">E35/B35</f>
        <v>0.0151386932900487</v>
      </c>
      <c r="G35" s="13" t="n">
        <f aca="false">B35/D35</f>
        <v>36.7595464379005</v>
      </c>
    </row>
    <row r="36" customFormat="false" ht="15" hidden="false" customHeight="true" outlineLevel="0" collapsed="false">
      <c r="A36" s="25" t="n">
        <v>42644</v>
      </c>
      <c r="B36" s="13" t="n">
        <f aca="false">SUMIFS('Sales Master'!$B$2:$B$1054,'Sales Master'!$A$2:$A$1054,"&gt;="&amp;A36,'Sales Master'!$A$2:$A$1054,"&lt;="&amp;DATE(YEAR(A36),MONTH(A36)+1,1)-1)</f>
        <v>2329172.70277017</v>
      </c>
      <c r="C36" s="13" t="n">
        <f aca="false">SUMIFS('Sales Master'!$C$2:$C$1054,'Sales Master'!$A$2:$A$1054,"&gt;="&amp;A36,'Sales Master'!$A$2:$A$1054,"&lt;="&amp;DATE(YEAR(A36),MONTH(A36)+1,1)-1)</f>
        <v>2109211.05779771</v>
      </c>
      <c r="D36" s="14" t="n">
        <f aca="false">SUMIFS('Sales Master'!$D$2:$D$1054,'Sales Master'!$A$2:$A$1054,"&gt;="&amp;A36,'Sales Master'!$A$2:$A$1054,"&lt;="&amp;DATE(YEAR(A36),MONTH(A36)+1,1)-1)</f>
        <v>56667</v>
      </c>
      <c r="E36" s="13" t="n">
        <f aca="false">B36-C36</f>
        <v>219961.644972458</v>
      </c>
      <c r="F36" s="16" t="n">
        <f aca="false">E36/B36</f>
        <v>0.0944376708136968</v>
      </c>
      <c r="G36" s="13" t="n">
        <f aca="false">B36/D36</f>
        <v>41.1028059147329</v>
      </c>
    </row>
    <row r="37" customFormat="false" ht="15" hidden="false" customHeight="true" outlineLevel="0" collapsed="false">
      <c r="A37" s="25" t="n">
        <v>42675</v>
      </c>
      <c r="B37" s="13" t="n">
        <f aca="false">SUMIFS('Sales Master'!$B$2:$B$1054,'Sales Master'!$A$2:$A$1054,"&gt;="&amp;A37,'Sales Master'!$A$2:$A$1054,"&lt;="&amp;DATE(YEAR(A37),MONTH(A37)+1,1)-1)</f>
        <v>1851029.86266632</v>
      </c>
      <c r="C37" s="13" t="n">
        <f aca="false">SUMIFS('Sales Master'!$C$2:$C$1054,'Sales Master'!$A$2:$A$1054,"&gt;="&amp;A37,'Sales Master'!$A$2:$A$1054,"&lt;="&amp;DATE(YEAR(A37),MONTH(A37)+1,1)-1)</f>
        <v>1724472.87829768</v>
      </c>
      <c r="D37" s="14" t="n">
        <f aca="false">SUMIFS('Sales Master'!$D$2:$D$1054,'Sales Master'!$A$2:$A$1054,"&gt;="&amp;A37,'Sales Master'!$A$2:$A$1054,"&lt;="&amp;DATE(YEAR(A37),MONTH(A37)+1,1)-1)</f>
        <v>43107</v>
      </c>
      <c r="E37" s="13" t="n">
        <f aca="false">B37-C37</f>
        <v>126556.984368644</v>
      </c>
      <c r="F37" s="16" t="n">
        <f aca="false">E37/B37</f>
        <v>0.0683711197324197</v>
      </c>
      <c r="G37" s="13" t="n">
        <f aca="false">B37/D37</f>
        <v>42.9403545286456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14"/>
    <col collapsed="false" customWidth="true" hidden="false" outlineLevel="0" max="4" min="2" style="10" width="18"/>
    <col collapsed="false" customWidth="true" hidden="false" outlineLevel="0" max="5" min="5" style="10" width="14"/>
  </cols>
  <sheetData>
    <row r="1" customFormat="false" ht="30" hidden="false" customHeight="true" outlineLevel="0" collapsed="false">
      <c r="A1" s="11" t="s">
        <v>19</v>
      </c>
      <c r="B1" s="11" t="s">
        <v>62</v>
      </c>
      <c r="C1" s="11" t="s">
        <v>61</v>
      </c>
      <c r="D1" s="11" t="s">
        <v>63</v>
      </c>
      <c r="E1" s="11" t="s">
        <v>64</v>
      </c>
    </row>
    <row r="2" customFormat="false" ht="15" hidden="false" customHeight="true" outlineLevel="0" collapsed="false">
      <c r="A2" s="17" t="s">
        <v>65</v>
      </c>
      <c r="B2" s="14" t="n">
        <f aca="false">SUMPRODUCT(('Sales Master'!$A$2:$A$1054)*0+(TEXT('Sales Master'!$A$2:$A$1054,"dddd")=$A2)*'Sales Master'!$D$2:$D$1054)/SUMPRODUCT((TEXT('Sales Master'!$A$2:$A$1054,"dddd")=$A2)*1)</f>
        <v>4400.04635761589</v>
      </c>
      <c r="C2" s="13" t="n">
        <f aca="false">SUMPRODUCT((TEXT('Sales Master'!$A$2:$A$1054,"dddd")=$A2)*'Sales Master'!$E$2:$E$1054)/SUMPRODUCT((TEXT('Sales Master'!$A$2:$A$1054,"dddd")=$A2)*1)</f>
        <v>37.2428134089351</v>
      </c>
      <c r="D2" s="14" t="n">
        <f aca="false">SUMPRODUCT((TEXT('Sales Master'!$A$2:$A$1054,"dddd")=$A2)*'Sales Master'!$G$2:$G$1054)/SUMPRODUCT((TEXT('Sales Master'!$A$2:$A$1054,"dddd")=$A2)*1)</f>
        <v>-5108.25431446142</v>
      </c>
      <c r="E2" s="26" t="n">
        <f aca="false">SUMPRODUCT((TEXT('Sales Master'!$A$2:$A$1054,"dddd")=$A2)*1)</f>
        <v>151</v>
      </c>
    </row>
    <row r="3" customFormat="false" ht="15" hidden="false" customHeight="true" outlineLevel="0" collapsed="false">
      <c r="A3" s="17" t="s">
        <v>66</v>
      </c>
      <c r="B3" s="14" t="n">
        <f aca="false">SUMPRODUCT(('Sales Master'!$A$2:$A$1054)*0+(TEXT('Sales Master'!$A$2:$A$1054,"dddd")=$A3)*'Sales Master'!$D$2:$D$1054)/SUMPRODUCT((TEXT('Sales Master'!$A$2:$A$1054,"dddd")=$A3)*1)</f>
        <v>3851.70198675497</v>
      </c>
      <c r="C3" s="13" t="n">
        <f aca="false">SUMPRODUCT((TEXT('Sales Master'!$A$2:$A$1054,"dddd")=$A3)*'Sales Master'!$E$2:$E$1054)/SUMPRODUCT((TEXT('Sales Master'!$A$2:$A$1054,"dddd")=$A3)*1)</f>
        <v>37.232695986035</v>
      </c>
      <c r="D3" s="14" t="n">
        <f aca="false">SUMPRODUCT((TEXT('Sales Master'!$A$2:$A$1054,"dddd")=$A3)*'Sales Master'!$G$2:$G$1054)/SUMPRODUCT((TEXT('Sales Master'!$A$2:$A$1054,"dddd")=$A3)*1)</f>
        <v>-4551.18064890501</v>
      </c>
      <c r="E3" s="26" t="n">
        <f aca="false">SUMPRODUCT((TEXT('Sales Master'!$A$2:$A$1054,"dddd")=$A3)*1)</f>
        <v>151</v>
      </c>
    </row>
    <row r="4" customFormat="false" ht="15" hidden="false" customHeight="true" outlineLevel="0" collapsed="false">
      <c r="A4" s="17" t="s">
        <v>67</v>
      </c>
      <c r="B4" s="14" t="n">
        <f aca="false">SUMPRODUCT(('Sales Master'!$A$2:$A$1054)*0+(TEXT('Sales Master'!$A$2:$A$1054,"dddd")=$A4)*'Sales Master'!$D$2:$D$1054)/SUMPRODUCT((TEXT('Sales Master'!$A$2:$A$1054,"dddd")=$A4)*1)</f>
        <v>4105.99337748344</v>
      </c>
      <c r="C4" s="13" t="n">
        <f aca="false">SUMPRODUCT((TEXT('Sales Master'!$A$2:$A$1054,"dddd")=$A4)*'Sales Master'!$E$2:$E$1054)/SUMPRODUCT((TEXT('Sales Master'!$A$2:$A$1054,"dddd")=$A4)*1)</f>
        <v>37.0157908791411</v>
      </c>
      <c r="D4" s="14" t="n">
        <f aca="false">SUMPRODUCT((TEXT('Sales Master'!$A$2:$A$1054,"dddd")=$A4)*'Sales Master'!$G$2:$G$1054)/SUMPRODUCT((TEXT('Sales Master'!$A$2:$A$1054,"dddd")=$A4)*1)</f>
        <v>-5930.0708034198</v>
      </c>
      <c r="E4" s="26" t="n">
        <f aca="false">SUMPRODUCT((TEXT('Sales Master'!$A$2:$A$1054,"dddd")=$A4)*1)</f>
        <v>151</v>
      </c>
    </row>
    <row r="5" customFormat="false" ht="15" hidden="false" customHeight="true" outlineLevel="0" collapsed="false">
      <c r="A5" s="17" t="s">
        <v>68</v>
      </c>
      <c r="B5" s="14" t="n">
        <f aca="false">SUMPRODUCT(('Sales Master'!$A$2:$A$1054)*0+(TEXT('Sales Master'!$A$2:$A$1054,"dddd")=$A5)*'Sales Master'!$D$2:$D$1054)/SUMPRODUCT((TEXT('Sales Master'!$A$2:$A$1054,"dddd")=$A5)*1)</f>
        <v>3969.22</v>
      </c>
      <c r="C5" s="13" t="n">
        <f aca="false">SUMPRODUCT((TEXT('Sales Master'!$A$2:$A$1054,"dddd")=$A5)*'Sales Master'!$E$2:$E$1054)/SUMPRODUCT((TEXT('Sales Master'!$A$2:$A$1054,"dddd")=$A5)*1)</f>
        <v>37.161421856432</v>
      </c>
      <c r="D5" s="14" t="n">
        <f aca="false">SUMPRODUCT((TEXT('Sales Master'!$A$2:$A$1054,"dddd")=$A5)*'Sales Master'!$G$2:$G$1054)/SUMPRODUCT((TEXT('Sales Master'!$A$2:$A$1054,"dddd")=$A5)*1)</f>
        <v>-5161.55333578615</v>
      </c>
      <c r="E5" s="26" t="n">
        <f aca="false">SUMPRODUCT((TEXT('Sales Master'!$A$2:$A$1054,"dddd")=$A5)*1)</f>
        <v>150</v>
      </c>
    </row>
    <row r="6" customFormat="false" ht="15" hidden="false" customHeight="true" outlineLevel="0" collapsed="false">
      <c r="A6" s="17" t="s">
        <v>69</v>
      </c>
      <c r="B6" s="14" t="n">
        <f aca="false">SUMPRODUCT(('Sales Master'!$A$2:$A$1054)*0+(TEXT('Sales Master'!$A$2:$A$1054,"dddd")=$A6)*'Sales Master'!$D$2:$D$1054)/SUMPRODUCT((TEXT('Sales Master'!$A$2:$A$1054,"dddd")=$A6)*1)</f>
        <v>6955.39333333333</v>
      </c>
      <c r="C6" s="13" t="n">
        <f aca="false">SUMPRODUCT((TEXT('Sales Master'!$A$2:$A$1054,"dddd")=$A6)*'Sales Master'!$E$2:$E$1054)/SUMPRODUCT((TEXT('Sales Master'!$A$2:$A$1054,"dddd")=$A6)*1)</f>
        <v>36.9822630865355</v>
      </c>
      <c r="D6" s="14" t="n">
        <f aca="false">SUMPRODUCT((TEXT('Sales Master'!$A$2:$A$1054,"dddd")=$A6)*'Sales Master'!$G$2:$G$1054)/SUMPRODUCT((TEXT('Sales Master'!$A$2:$A$1054,"dddd")=$A6)*1)</f>
        <v>-9490.11881024726</v>
      </c>
      <c r="E6" s="26" t="n">
        <f aca="false">SUMPRODUCT((TEXT('Sales Master'!$A$2:$A$1054,"dddd")=$A6)*1)</f>
        <v>150</v>
      </c>
    </row>
    <row r="7" customFormat="false" ht="15" hidden="false" customHeight="true" outlineLevel="0" collapsed="false">
      <c r="A7" s="17" t="s">
        <v>70</v>
      </c>
      <c r="B7" s="14" t="n">
        <f aca="false">SUMPRODUCT(('Sales Master'!$A$2:$A$1054)*0+(TEXT('Sales Master'!$A$2:$A$1054,"dddd")=$A7)*'Sales Master'!$D$2:$D$1054)/SUMPRODUCT((TEXT('Sales Master'!$A$2:$A$1054,"dddd")=$A7)*1)</f>
        <v>7937.30666666667</v>
      </c>
      <c r="C7" s="13" t="n">
        <f aca="false">SUMPRODUCT((TEXT('Sales Master'!$A$2:$A$1054,"dddd")=$A7)*'Sales Master'!$E$2:$E$1054)/SUMPRODUCT((TEXT('Sales Master'!$A$2:$A$1054,"dddd")=$A7)*1)</f>
        <v>36.8576541943841</v>
      </c>
      <c r="D7" s="14" t="n">
        <f aca="false">SUMPRODUCT((TEXT('Sales Master'!$A$2:$A$1054,"dddd")=$A7)*'Sales Master'!$G$2:$G$1054)/SUMPRODUCT((TEXT('Sales Master'!$A$2:$A$1054,"dddd")=$A7)*1)</f>
        <v>-11996.0771023529</v>
      </c>
      <c r="E7" s="26" t="n">
        <f aca="false">SUMPRODUCT((TEXT('Sales Master'!$A$2:$A$1054,"dddd")=$A7)*1)</f>
        <v>150</v>
      </c>
    </row>
    <row r="8" customFormat="false" ht="15" hidden="false" customHeight="true" outlineLevel="0" collapsed="false">
      <c r="A8" s="17" t="s">
        <v>71</v>
      </c>
      <c r="B8" s="14" t="n">
        <f aca="false">SUMPRODUCT(('Sales Master'!$A$2:$A$1054)*0+(TEXT('Sales Master'!$A$2:$A$1054,"dddd")=$A8)*'Sales Master'!$D$2:$D$1054)/SUMPRODUCT((TEXT('Sales Master'!$A$2:$A$1054,"dddd")=$A8)*1)</f>
        <v>3897.1</v>
      </c>
      <c r="C8" s="13" t="n">
        <f aca="false">SUMPRODUCT((TEXT('Sales Master'!$A$2:$A$1054,"dddd")=$A8)*'Sales Master'!$E$2:$E$1054)/SUMPRODUCT((TEXT('Sales Master'!$A$2:$A$1054,"dddd")=$A8)*1)</f>
        <v>37.0155033555563</v>
      </c>
      <c r="D8" s="14" t="n">
        <f aca="false">SUMPRODUCT((TEXT('Sales Master'!$A$2:$A$1054,"dddd")=$A8)*'Sales Master'!$G$2:$G$1054)/SUMPRODUCT((TEXT('Sales Master'!$A$2:$A$1054,"dddd")=$A8)*1)</f>
        <v>-5100.68954655565</v>
      </c>
      <c r="E8" s="26" t="n">
        <f aca="false">SUMPRODUCT((TEXT('Sales Master'!$A$2:$A$1054,"dddd")=$A8)*1)</f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2026-07-27T19:54:45Z</dcterms:created>
  <dc:creator>openpyxl</dc:creator>
  <dc:description/>
  <dc:language>en-US</dc:language>
  <cp:lastModifiedBy/>
  <dcterms:modified xsi:type="dcterms:W3CDTF">2026-07-31T14:15:33Z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